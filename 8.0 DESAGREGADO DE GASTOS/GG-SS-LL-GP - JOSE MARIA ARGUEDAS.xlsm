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RepositorioORFEI\IOARR0002-JM-ARGUEDAS\8.0 DESAGREGADO DE GASTOS\"/>
    </mc:Choice>
  </mc:AlternateContent>
  <xr:revisionPtr revIDLastSave="0" documentId="13_ncr:1_{431AD638-B5A3-480D-8546-EC3D3BAE98BC}" xr6:coauthVersionLast="45" xr6:coauthVersionMax="45" xr10:uidLastSave="{00000000-0000-0000-0000-000000000000}"/>
  <bookViews>
    <workbookView xWindow="-108" yWindow="-108" windowWidth="30936" windowHeight="16896" tabRatio="690" xr2:uid="{00000000-000D-0000-FFFF-FFFF00000000}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9"/>
  <externalReferences>
    <externalReference r:id="rId10"/>
  </externalReferences>
  <definedNames>
    <definedName name="_xlnm._FilterDatabase" localSheetId="2" hidden="1">'C.Directo'!$B$36:$F$36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'C.Directo'!$A$1:$G$486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RESUMEN!$B$4:$G$34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0" i="25" l="1"/>
  <c r="G24" i="25"/>
  <c r="G14" i="25" l="1"/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128" i="11" l="1"/>
  <c r="F84" i="27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6" i="16"/>
  <c r="E98" i="11"/>
  <c r="E114" i="11"/>
  <c r="E79" i="11" s="1"/>
  <c r="E132" i="11"/>
  <c r="F43" i="11"/>
  <c r="F144" i="12"/>
  <c r="F145" i="12" s="1"/>
  <c r="E54" i="22"/>
  <c r="E55" i="22"/>
  <c r="E67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D57" i="21" s="1"/>
  <c r="D68" i="21" s="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E96" i="16"/>
  <c r="E76" i="16"/>
  <c r="D81" i="11"/>
  <c r="D100" i="11"/>
  <c r="E84" i="16"/>
  <c r="E95" i="16"/>
  <c r="E72" i="12"/>
  <c r="F43" i="16"/>
  <c r="E87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35" i="21"/>
  <c r="F37" i="21" s="1"/>
  <c r="G28" i="21" s="1"/>
  <c r="E77" i="21"/>
  <c r="E47" i="21"/>
  <c r="F47" i="21" s="1"/>
  <c r="F49" i="21" s="1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51" i="16" l="1"/>
  <c r="G143" i="16" s="1"/>
  <c r="F139" i="16"/>
  <c r="G134" i="16" s="1"/>
  <c r="G126" i="16" s="1"/>
  <c r="G17" i="16" s="1"/>
  <c r="E88" i="22"/>
  <c r="F44" i="16"/>
  <c r="G35" i="16" s="1"/>
  <c r="F67" i="22"/>
  <c r="D77" i="21"/>
  <c r="D88" i="21" s="1"/>
  <c r="F88" i="21" s="1"/>
  <c r="F90" i="21" s="1"/>
  <c r="G81" i="21" s="1"/>
  <c r="F68" i="21"/>
  <c r="F70" i="21" s="1"/>
  <c r="E108" i="22"/>
  <c r="F108" i="22" s="1"/>
  <c r="F109" i="22" s="1"/>
  <c r="G102" i="22" s="1"/>
  <c r="G100" i="22" s="1"/>
  <c r="E77" i="22"/>
  <c r="F55" i="22"/>
  <c r="F56" i="22" s="1"/>
  <c r="G47" i="22" s="1"/>
  <c r="E97" i="22"/>
  <c r="F97" i="22" s="1"/>
  <c r="F98" i="22" s="1"/>
  <c r="F107" i="22"/>
  <c r="F123" i="16"/>
  <c r="G108" i="16" s="1"/>
  <c r="G99" i="16" s="1"/>
  <c r="G16" i="16" s="1"/>
  <c r="I17" i="10" s="1"/>
  <c r="F78" i="21"/>
  <c r="F186" i="21"/>
  <c r="G180" i="21" s="1"/>
  <c r="G178" i="21" s="1"/>
  <c r="G16" i="21" s="1"/>
  <c r="F176" i="21"/>
  <c r="G95" i="21" s="1"/>
  <c r="G93" i="21" s="1"/>
  <c r="G15" i="21" s="1"/>
  <c r="G21" i="25"/>
  <c r="F197" i="21"/>
  <c r="G189" i="21" s="1"/>
  <c r="F57" i="21"/>
  <c r="F59" i="21" s="1"/>
  <c r="G40" i="21" s="1"/>
  <c r="F96" i="12"/>
  <c r="F76" i="16"/>
  <c r="F96" i="16"/>
  <c r="F94" i="12"/>
  <c r="F162" i="22"/>
  <c r="G156" i="22" s="1"/>
  <c r="F77" i="2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G16" i="22" s="1"/>
  <c r="F18" i="10" s="1"/>
  <c r="G187" i="11"/>
  <c r="G17" i="11" s="1"/>
  <c r="D18" i="10" s="1"/>
  <c r="F131" i="11"/>
  <c r="F83" i="12"/>
  <c r="F99" i="11"/>
  <c r="F113" i="11"/>
  <c r="F138" i="12"/>
  <c r="G108" i="12" s="1"/>
  <c r="F88" i="22"/>
  <c r="F127" i="22"/>
  <c r="G121" i="22" s="1"/>
  <c r="F154" i="22"/>
  <c r="G129" i="22" s="1"/>
  <c r="F132" i="11"/>
  <c r="F184" i="11"/>
  <c r="G151" i="11" s="1"/>
  <c r="G148" i="11" s="1"/>
  <c r="F100" i="11"/>
  <c r="F66" i="22"/>
  <c r="F87" i="22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41" i="22"/>
  <c r="G18" i="22"/>
  <c r="F20" i="10" s="1"/>
  <c r="F79" i="11"/>
  <c r="F52" i="13"/>
  <c r="F111" i="13"/>
  <c r="F131" i="13"/>
  <c r="F79" i="21" l="1"/>
  <c r="G61" i="21" s="1"/>
  <c r="G26" i="21" s="1"/>
  <c r="G14" i="21" s="1"/>
  <c r="G18" i="21" s="1"/>
  <c r="G200" i="21" s="1"/>
  <c r="F68" i="22"/>
  <c r="G111" i="22"/>
  <c r="G15" i="22" s="1"/>
  <c r="F17" i="10" s="1"/>
  <c r="F89" i="22"/>
  <c r="G80" i="22" s="1"/>
  <c r="F56" i="16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G33" i="16" l="1"/>
  <c r="G15" i="16" s="1"/>
  <c r="G19" i="16" s="1"/>
  <c r="G28" i="25" s="1"/>
  <c r="E19" i="10" s="1"/>
  <c r="G28" i="12"/>
  <c r="G15" i="25"/>
  <c r="G471" i="13"/>
  <c r="G28" i="11"/>
  <c r="G15" i="11" s="1"/>
  <c r="D16" i="10" s="1"/>
  <c r="G154" i="16" l="1"/>
  <c r="H16" i="10"/>
  <c r="H21" i="10" s="1"/>
  <c r="G14" i="12"/>
  <c r="I16" i="10"/>
  <c r="I21" i="10" s="1"/>
  <c r="G18" i="12"/>
  <c r="G158" i="12" s="1"/>
  <c r="G27" i="25" s="1"/>
  <c r="G19" i="11"/>
  <c r="G16" i="25" s="1"/>
  <c r="D21" i="10"/>
  <c r="D22" i="10" s="1"/>
  <c r="G16" i="10"/>
  <c r="J18" i="25" l="1"/>
  <c r="E16" i="25" s="1"/>
  <c r="K19" i="11"/>
  <c r="K22" i="11" s="1"/>
  <c r="K25" i="11" s="1"/>
  <c r="G204" i="11"/>
  <c r="K16" i="10"/>
  <c r="G17" i="25" l="1"/>
  <c r="G19" i="25" s="1"/>
  <c r="J22" i="25" s="1"/>
  <c r="E27" i="25" l="1"/>
  <c r="G19" i="10"/>
  <c r="B32" i="25"/>
  <c r="E26" i="25" l="1"/>
  <c r="E28" i="25"/>
  <c r="E21" i="25"/>
  <c r="I154" i="16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<sst xmlns="http://schemas.openxmlformats.org/spreadsheetml/2006/main" count="2149" uniqueCount="655">
  <si>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</si>
  <si>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</si>
  <si>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</si>
  <si>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</si>
  <si>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</si>
  <si>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</si>
  <si>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</si>
  <si>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</si>
  <si>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</si>
  <si>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</si>
  <si>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</si>
  <si>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</si>
  <si>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</si>
  <si>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</si>
  <si>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</si>
  <si>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</si>
  <si>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</si>
  <si>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</si>
  <si>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</si>
  <si>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</si>
  <si>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</si>
  <si>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</si>
  <si>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</si>
  <si>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</si>
  <si>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</si>
  <si>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</si>
  <si>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</si>
  <si>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</si>
  <si>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</si>
  <si>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</si>
  <si>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</si>
  <si>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</si>
  <si>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</si>
  <si>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</si>
  <si>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</si>
  <si>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</si>
  <si>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</si>
  <si>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</si>
  <si>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</si>
  <si>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</si>
  <si>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</si>
  <si>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</si>
  <si>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</si>
  <si>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</si>
  <si>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</si>
  <si>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</si>
  <si>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</si>
  <si>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</si>
  <si>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</si>
  <si>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</si>
  <si>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</si>
  <si>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</si>
  <si>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</si>
  <si>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</si>
  <si>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</si>
  <si>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</si>
  <si>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</si>
  <si>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</si>
  <si>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</si>
  <si>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</si>
  <si>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</si>
  <si>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</si>
  <si>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</si>
  <si>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</si>
  <si>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</si>
  <si>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</si>
  <si>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</si>
  <si>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</si>
  <si>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</si>
  <si>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</si>
  <si>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</si>
  <si>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</si>
  <si>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</si>
  <si>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</si>
  <si>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</si>
  <si>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</si>
  <si>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</si>
  <si>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</si>
  <si>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</si>
  <si>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</si>
  <si>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</si>
  <si>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</si>
  <si>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</si>
  <si>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</si>
  <si>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</si>
  <si>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</si>
  <si>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</si>
  <si>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</si>
  <si>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</si>
  <si>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</si>
  <si>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</si>
  <si>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</si>
  <si>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</si>
  <si>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</si>
  <si>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</si>
  <si>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</si>
  <si>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</si>
  <si>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</si>
  <si>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</si>
  <si>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</si>
  <si>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</si>
  <si>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</si>
  <si>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</si>
  <si>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</si>
  <si>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</si>
  <si>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</si>
  <si>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</si>
  <si>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</si>
  <si>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</si>
  <si>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</si>
  <si>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</si>
  <si>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</si>
  <si>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</si>
  <si>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</si>
  <si>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</si>
  <si>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</si>
  <si>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</si>
  <si>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</si>
  <si>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</si>
  <si>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</si>
  <si>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</si>
  <si>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</si>
  <si>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</si>
  <si>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</si>
  <si>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</si>
  <si>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</si>
  <si>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</si>
  <si>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</si>
  <si>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</si>
  <si>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</si>
  <si>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</si>
  <si>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</si>
  <si>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</si>
  <si>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</si>
  <si>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</si>
  <si>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</si>
  <si>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</si>
  <si>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</si>
  <si>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</si>
  <si>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</si>
  <si>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</si>
  <si>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</si>
  <si>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</si>
  <si>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</si>
  <si>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</si>
  <si>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</si>
  <si>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</si>
  <si>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</si>
  <si>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</si>
  <si>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</si>
  <si>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</si>
  <si>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</si>
  <si>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</si>
  <si>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</si>
  <si>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</si>
  <si>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</si>
  <si>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</si>
  <si>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</si>
  <si>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</si>
  <si>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</si>
  <si>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</si>
  <si>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</si>
  <si>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</si>
  <si>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</si>
  <si>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</si>
  <si>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</si>
  <si>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</si>
  <si>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</si>
  <si>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</si>
  <si>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</si>
  <si>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</si>
  <si>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</si>
  <si>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</si>
  <si>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</si>
  <si>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</si>
  <si>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</si>
  <si>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</si>
  <si>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</si>
  <si>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</si>
  <si>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</si>
  <si>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</si>
  <si>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</si>
  <si>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</si>
  <si>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</si>
  <si>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</si>
  <si>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</si>
  <si>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</si>
  <si>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</si>
  <si>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</si>
  <si>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</si>
  <si>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</si>
  <si>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</si>
  <si>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</si>
  <si>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</si>
  <si>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</si>
  <si>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</si>
  <si>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</si>
  <si>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</si>
  <si>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</si>
  <si>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</si>
  <si>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</si>
  <si>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</si>
  <si>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</si>
  <si>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</si>
  <si>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</si>
  <si>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</si>
  <si>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</si>
  <si>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</si>
  <si>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</si>
  <si>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</si>
  <si>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</si>
  <si>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</si>
  <si>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</si>
  <si>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</si>
  <si>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</si>
  <si>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</si>
  <si>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</si>
  <si>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</si>
  <si>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</si>
  <si>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</si>
  <si>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</si>
  <si>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</si>
  <si>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</si>
  <si>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</si>
  <si>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</si>
  <si>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</si>
  <si>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</si>
  <si>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</si>
  <si>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</si>
  <si>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</si>
  <si>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</si>
  <si>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</si>
  <si>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</si>
  <si>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</si>
  <si>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</si>
  <si>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</si>
  <si>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</si>
  <si>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</si>
  <si>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</si>
  <si>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</si>
  <si>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</si>
  <si>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</si>
  <si>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</si>
  <si>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</si>
  <si>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</si>
  <si>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</si>
  <si>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</si>
  <si>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</si>
  <si>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</si>
  <si>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</si>
  <si>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</si>
  <si>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</si>
  <si>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</si>
  <si>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</si>
  <si>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</si>
  <si>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</si>
  <si>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</si>
  <si>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</si>
  <si>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</si>
  <si>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</si>
  <si>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</si>
  <si>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</si>
  <si>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</si>
  <si>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</si>
  <si>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</si>
  <si>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</si>
  <si>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</si>
  <si>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</si>
  <si>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</si>
  <si>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</si>
  <si>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</si>
  <si>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</si>
  <si>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</si>
  <si>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</si>
  <si>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</si>
  <si>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</si>
  <si>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</si>
  <si>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</si>
  <si>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</si>
  <si>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</si>
  <si>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</si>
  <si>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</si>
  <si>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</si>
  <si>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</si>
  <si>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</si>
  <si>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</si>
  <si>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</si>
  <si>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</si>
  <si>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</si>
  <si>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</si>
  <si>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</si>
  <si>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</si>
  <si>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</si>
  <si>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</si>
  <si>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</si>
  <si>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</si>
  <si>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</si>
  <si>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</si>
  <si>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</si>
  <si>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</si>
  <si>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</si>
  <si>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</si>
  <si>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</si>
  <si>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</si>
  <si>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</si>
  <si>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</si>
  <si>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</si>
  <si>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</si>
  <si>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</si>
  <si>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</si>
  <si>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</si>
  <si>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</si>
  <si>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</si>
  <si>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</si>
  <si>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</si>
  <si>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</si>
  <si>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</si>
  <si>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</si>
  <si>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</si>
  <si>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</si>
  <si>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</si>
  <si>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</si>
  <si>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</si>
  <si>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</si>
  <si>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</si>
  <si>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</si>
  <si>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</si>
  <si>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</si>
  <si>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</si>
  <si>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</si>
  <si>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</si>
  <si>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</si>
  <si>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</si>
  <si>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</si>
  <si>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</si>
  <si>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</si>
  <si>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</si>
  <si>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</si>
  <si>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</si>
  <si>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</si>
  <si>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</si>
  <si>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</si>
  <si>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</si>
  <si>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</si>
  <si>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</si>
  <si>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</si>
  <si>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</si>
  <si>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</si>
  <si>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</si>
  <si>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</si>
  <si>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</si>
  <si>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</si>
  <si>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</si>
  <si>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</si>
  <si>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</si>
  <si>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</si>
  <si>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</si>
  <si>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</si>
  <si>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</si>
  <si>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</si>
  <si>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</si>
  <si>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</si>
  <si>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</si>
  <si>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</si>
  <si>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</si>
  <si>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</si>
  <si>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</si>
  <si>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</si>
  <si>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</si>
  <si>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</si>
  <si>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</si>
  <si>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</si>
  <si>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</si>
  <si>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</si>
  <si>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</si>
  <si>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</si>
  <si>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</si>
  <si>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</si>
  <si>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</si>
  <si>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</si>
  <si>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</si>
  <si>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</si>
  <si>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</si>
  <si>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</si>
  <si>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</si>
  <si>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</si>
  <si>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</si>
  <si>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</si>
  <si>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</si>
  <si>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</si>
  <si>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</si>
  <si>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</si>
  <si>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</si>
  <si>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</si>
  <si>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</si>
  <si>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</si>
  <si>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</si>
  <si>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</si>
  <si>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</si>
  <si>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</si>
  <si>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</si>
  <si>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</si>
  <si>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</si>
  <si>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</si>
  <si>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</si>
  <si>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</si>
  <si>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</si>
  <si>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</si>
  <si>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</si>
  <si>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</si>
  <si>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</si>
  <si>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</si>
  <si>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</si>
  <si>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</si>
  <si>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</si>
  <si>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</si>
  <si>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</si>
  <si>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</si>
  <si>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</si>
  <si>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</si>
  <si>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</si>
  <si>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</si>
  <si>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</si>
  <si>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</si>
  <si>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</si>
  <si>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</si>
  <si>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</si>
  <si>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</si>
  <si>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</si>
  <si>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</si>
  <si>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</si>
  <si>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</si>
  <si>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</si>
  <si>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</si>
  <si>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</si>
  <si>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</si>
  <si>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</si>
  <si>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</si>
  <si>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</si>
  <si>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</si>
  <si>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</si>
  <si>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</si>
  <si>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</si>
  <si>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</si>
  <si>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</si>
  <si>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</si>
  <si>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</si>
  <si>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</si>
  <si>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</si>
  <si>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</si>
  <si>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</si>
  <si>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</si>
  <si>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</si>
  <si>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</si>
  <si>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</si>
  <si>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</si>
  <si>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</si>
  <si>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</si>
  <si>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</si>
  <si>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</si>
  <si>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</si>
  <si>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</si>
  <si>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</si>
  <si>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</si>
  <si>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</si>
  <si>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</si>
  <si>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</si>
  <si>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</si>
  <si>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</si>
  <si>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</si>
  <si>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</si>
  <si>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</si>
  <si>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</si>
  <si>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</si>
  <si>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</si>
  <si>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</si>
  <si>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</si>
  <si>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</si>
  <si>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</si>
  <si>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</si>
  <si>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</si>
  <si>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</si>
  <si>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</si>
  <si>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</si>
  <si>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</si>
  <si>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</si>
  <si>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</si>
  <si>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</si>
  <si>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</si>
  <si>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</si>
  <si>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</si>
  <si>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</si>
  <si>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</si>
  <si>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</si>
  <si>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</si>
  <si>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</si>
  <si>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</si>
  <si>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</si>
  <si>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</si>
  <si>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</si>
  <si>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</si>
  <si>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</si>
  <si>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</si>
  <si>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</si>
  <si>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</si>
  <si>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</si>
  <si>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</si>
  <si>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</si>
  <si>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</si>
  <si>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</si>
  <si>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</si>
  <si>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</si>
  <si>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</si>
  <si>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</si>
  <si>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</si>
  <si>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</si>
  <si>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</si>
  <si>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</si>
  <si>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</si>
  <si>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</si>
  <si>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</si>
  <si>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</si>
  <si>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</si>
  <si>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</si>
  <si>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</si>
  <si>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</si>
  <si>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</si>
  <si>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</si>
  <si>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</si>
  <si>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</si>
  <si>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</si>
  <si>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</si>
  <si>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</si>
  <si>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</si>
  <si>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</si>
  <si>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</si>
  <si>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</si>
  <si>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</si>
  <si>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</si>
  <si>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</si>
  <si>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</si>
  <si>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</si>
  <si>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</si>
  <si>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</si>
  <si>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</si>
  <si>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</si>
  <si>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</si>
  <si>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</si>
  <si>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</si>
  <si>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</si>
  <si>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</si>
  <si>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</si>
  <si>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</si>
  <si>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</si>
  <si>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</si>
  <si>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</si>
  <si>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</si>
  <si>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</si>
  <si>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</si>
  <si>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</si>
  <si>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</si>
  <si>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</si>
  <si>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</si>
  <si>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</si>
  <si>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</si>
  <si>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</si>
  <si>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</si>
  <si>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</si>
  <si>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</si>
  <si>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</si>
  <si>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</si>
  <si>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</si>
  <si>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</si>
  <si>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</si>
  <si>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</si>
  <si>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</si>
  <si>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</si>
  <si>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</si>
  <si>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</si>
  <si>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</si>
  <si>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</si>
  <si>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</si>
  <si>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</si>
  <si>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</si>
  <si>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</si>
  <si>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</si>
  <si>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</si>
  <si>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</si>
  <si>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</si>
  <si>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</si>
  <si>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</si>
  <si>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</si>
  <si>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</si>
  <si>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</si>
  <si>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</si>
  <si>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</si>
  <si>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</si>
  <si>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</si>
  <si>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</si>
  <si>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</si>
  <si>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</si>
  <si>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</si>
  <si>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</si>
  <si>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</si>
  <si>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</si>
  <si>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</si>
  <si>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</si>
  <si>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</si>
  <si>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</si>
  <si>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</si>
  <si>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</si>
  <si>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</si>
  <si>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</si>
  <si>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</si>
  <si>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</si>
  <si>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</si>
  <si>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</si>
  <si>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</si>
  <si>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</si>
  <si>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</si>
  <si>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</si>
  <si>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</si>
  <si>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</si>
  <si>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</si>
  <si>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</si>
  <si>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</si>
  <si>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</si>
  <si>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</si>
  <si>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</si>
  <si>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</si>
  <si>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</si>
  <si>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</si>
  <si>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</si>
  <si>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</si>
  <si>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</si>
  <si>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</si>
  <si>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</si>
  <si>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</si>
  <si>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</si>
  <si>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</si>
  <si>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</si>
  <si>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</si>
  <si>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</si>
  <si>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</si>
  <si>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</si>
  <si>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</si>
  <si>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</si>
  <si>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</si>
  <si>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</si>
  <si>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</si>
  <si>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</si>
  <si>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</si>
  <si>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t>IOARR: “OPTIMIZACION MEDIANTE COBERTURA DE LA LOSA DEPORTIVA MULTIUSO DE LA INSTITUCION ADUCATIVA SECUNDARIA "JOSE MARIA ARGUEDAS" CHUQUIBAMBILLA, DISTRITO - CHUQUIBAMBILLA, PROVINCIA - GRAU, DEPARTAMENTO – APURIMAC”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</si>
  <si>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CHUQUIBAMBILLA</t>
    </r>
  </si>
  <si>
    <t>"OPTIMIZACION MEDIANTE COBERTURA DE LA LOSA DEPORTIVA MULTIUSO DE LA INSTITUCION ADUCATIVA  SECUNDARIA "JOSE MARIA ARGUEDAS" CHUQUIBAMBILLA, DISTRITO -CHUQUIBAMBILLA, PROVINCIA GRAU, DEPARTAMENTO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</si>
</sst>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General_)"/>
    <numFmt numFmtId="166" formatCode="0.00_)"/>
    <numFmt numFmtId="167" formatCode="#,##0.00;[Red]#,##0.00"/>
    <numFmt numFmtId="168" formatCode="#,##0.0000"/>
    <numFmt numFmtId="169" formatCode="#,##0.00_);\-#,##0.00"/>
    <numFmt numFmtId="170" formatCode="0.000%"/>
    <numFmt numFmtId="171" formatCode="&quot;S/.&quot;\ #,##0.00"/>
    <numFmt numFmtId="172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5" fontId="5" fillId="2" borderId="0" xfId="0" applyNumberFormat="1" applyFont="1" applyFill="1" applyAlignment="1" applyProtection="1">
      <alignment horizontal="left" vertical="center"/>
    </xf>
    <xf numFmtId="165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5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5" fontId="3" fillId="0" borderId="0" xfId="0" applyNumberFormat="1" applyFont="1" applyFill="1" applyBorder="1" applyAlignment="1" applyProtection="1">
      <alignment vertical="center"/>
    </xf>
    <xf numFmtId="165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5" fontId="5" fillId="0" borderId="0" xfId="0" applyNumberFormat="1" applyFont="1" applyFill="1" applyAlignment="1" applyProtection="1">
      <alignment horizontal="left" vertical="center"/>
    </xf>
    <xf numFmtId="165" fontId="3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5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5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5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Alignment="1" applyProtection="1">
      <alignment vertical="center"/>
    </xf>
    <xf numFmtId="165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5" fontId="13" fillId="0" borderId="0" xfId="0" applyNumberFormat="1" applyFont="1" applyFill="1" applyAlignment="1" applyProtection="1">
      <alignment horizontal="left" vertical="center"/>
    </xf>
    <xf numFmtId="165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5" fontId="20" fillId="0" borderId="0" xfId="0" applyNumberFormat="1" applyFont="1" applyFill="1" applyAlignment="1" applyProtection="1">
      <alignment horizontal="left" vertical="center"/>
    </xf>
    <xf numFmtId="165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5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5" fontId="12" fillId="0" borderId="0" xfId="0" applyNumberFormat="1" applyFont="1" applyFill="1" applyBorder="1" applyAlignment="1" applyProtection="1">
      <alignment horizontal="center" vertical="center"/>
    </xf>
    <xf numFmtId="166" fontId="12" fillId="0" borderId="0" xfId="0" applyNumberFormat="1" applyFont="1" applyFill="1" applyBorder="1" applyAlignment="1" applyProtection="1">
      <alignment vertical="center"/>
    </xf>
    <xf numFmtId="165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5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5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5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5" fontId="18" fillId="0" borderId="0" xfId="0" applyNumberFormat="1" applyFont="1" applyFill="1" applyBorder="1" applyAlignment="1" applyProtection="1">
      <alignment vertical="center"/>
    </xf>
    <xf numFmtId="165" fontId="19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5" fontId="18" fillId="0" borderId="0" xfId="0" applyNumberFormat="1" applyFont="1" applyFill="1" applyBorder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right" vertical="center"/>
    </xf>
    <xf numFmtId="165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7" fontId="17" fillId="0" borderId="0" xfId="0" applyNumberFormat="1" applyFont="1" applyFill="1" applyAlignment="1">
      <alignment horizontal="right" vertical="center"/>
    </xf>
    <xf numFmtId="165" fontId="19" fillId="0" borderId="0" xfId="0" applyNumberFormat="1" applyFont="1" applyFill="1" applyAlignment="1" applyProtection="1">
      <alignment horizontal="right" vertical="center"/>
    </xf>
    <xf numFmtId="165" fontId="19" fillId="0" borderId="0" xfId="0" applyNumberFormat="1" applyFont="1" applyFill="1" applyAlignment="1" applyProtection="1">
      <alignment horizontal="left" vertical="center"/>
    </xf>
    <xf numFmtId="165" fontId="18" fillId="0" borderId="0" xfId="0" applyNumberFormat="1" applyFont="1" applyFill="1" applyAlignment="1" applyProtection="1">
      <alignment vertical="center"/>
    </xf>
    <xf numFmtId="165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5" fontId="18" fillId="0" borderId="0" xfId="0" applyNumberFormat="1" applyFont="1" applyFill="1" applyBorder="1" applyAlignment="1" applyProtection="1">
      <alignment horizontal="left" vertical="center"/>
    </xf>
    <xf numFmtId="165" fontId="18" fillId="0" borderId="0" xfId="0" applyNumberFormat="1" applyFont="1" applyFill="1" applyBorder="1" applyAlignment="1" applyProtection="1">
      <alignment horizontal="centerContinuous" vertical="center"/>
    </xf>
    <xf numFmtId="165" fontId="16" fillId="0" borderId="0" xfId="0" applyNumberFormat="1" applyFont="1" applyFill="1" applyAlignment="1" applyProtection="1">
      <alignment vertical="center"/>
    </xf>
    <xf numFmtId="165" fontId="17" fillId="0" borderId="0" xfId="0" applyNumberFormat="1" applyFont="1" applyFill="1" applyAlignment="1" applyProtection="1">
      <alignment horizontal="center" vertical="center"/>
    </xf>
    <xf numFmtId="166" fontId="16" fillId="0" borderId="0" xfId="0" applyNumberFormat="1" applyFont="1" applyFill="1" applyAlignment="1" applyProtection="1">
      <alignment vertical="center"/>
    </xf>
    <xf numFmtId="165" fontId="19" fillId="0" borderId="0" xfId="0" quotePrefix="1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8" fillId="0" borderId="0" xfId="0" applyNumberFormat="1" applyFont="1" applyFill="1" applyAlignment="1" applyProtection="1">
      <alignment horizontal="center" vertical="center"/>
    </xf>
    <xf numFmtId="165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8" fontId="15" fillId="0" borderId="3" xfId="0" applyNumberFormat="1" applyFont="1" applyFill="1" applyBorder="1" applyAlignment="1" applyProtection="1">
      <alignment horizontal="center" vertical="center"/>
    </xf>
    <xf numFmtId="168" fontId="12" fillId="0" borderId="0" xfId="0" applyNumberFormat="1" applyFont="1" applyFill="1" applyBorder="1" applyAlignment="1" applyProtection="1">
      <alignment horizontal="right" vertical="center"/>
    </xf>
    <xf numFmtId="165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5" fontId="12" fillId="0" borderId="0" xfId="0" quotePrefix="1" applyNumberFormat="1" applyFont="1" applyFill="1" applyAlignment="1" applyProtection="1">
      <alignment horizontal="left" vertical="center"/>
    </xf>
    <xf numFmtId="164" fontId="12" fillId="0" borderId="2" xfId="3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 applyProtection="1">
      <alignment horizontal="center" vertical="center"/>
    </xf>
    <xf numFmtId="165" fontId="20" fillId="0" borderId="3" xfId="0" applyNumberFormat="1" applyFont="1" applyFill="1" applyBorder="1" applyAlignment="1" applyProtection="1">
      <alignment horizontal="left" vertical="center"/>
    </xf>
    <xf numFmtId="165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5" fontId="4" fillId="3" borderId="7" xfId="0" applyNumberFormat="1" applyFont="1" applyFill="1" applyBorder="1" applyAlignment="1" applyProtection="1">
      <alignment horizontal="center" vertical="center"/>
    </xf>
    <xf numFmtId="165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5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7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5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5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5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5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5" fontId="23" fillId="0" borderId="0" xfId="0" quotePrefix="1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5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5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5" fontId="25" fillId="0" borderId="0" xfId="0" quotePrefix="1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5" fontId="26" fillId="0" borderId="0" xfId="0" applyNumberFormat="1" applyFont="1" applyFill="1" applyBorder="1" applyAlignment="1" applyProtection="1">
      <alignment horizontal="center" vertical="center"/>
    </xf>
    <xf numFmtId="165" fontId="27" fillId="0" borderId="0" xfId="0" applyNumberFormat="1" applyFont="1" applyFill="1" applyBorder="1" applyAlignment="1" applyProtection="1">
      <alignment vertical="center"/>
    </xf>
    <xf numFmtId="165" fontId="28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vertical="center"/>
    </xf>
    <xf numFmtId="165" fontId="27" fillId="0" borderId="0" xfId="0" applyNumberFormat="1" applyFont="1" applyFill="1" applyBorder="1" applyAlignment="1" applyProtection="1">
      <alignment horizontal="center" vertical="center"/>
    </xf>
    <xf numFmtId="43" fontId="12" fillId="2" borderId="0" xfId="1" applyFont="1" applyFill="1" applyAlignment="1">
      <alignment vertical="center"/>
    </xf>
    <xf numFmtId="170" fontId="12" fillId="2" borderId="0" xfId="0" applyNumberFormat="1" applyFont="1" applyFill="1" applyAlignment="1">
      <alignment vertical="center"/>
    </xf>
    <xf numFmtId="165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5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5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5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69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5" fontId="7" fillId="0" borderId="0" xfId="0" applyNumberFormat="1" applyFont="1" applyFill="1" applyAlignment="1" applyProtection="1">
      <alignment horizontal="left" vertical="center"/>
    </xf>
    <xf numFmtId="165" fontId="3" fillId="0" borderId="0" xfId="0" quotePrefix="1" applyNumberFormat="1" applyFont="1" applyFill="1" applyAlignment="1" applyProtection="1">
      <alignment horizontal="center" vertical="center"/>
    </xf>
    <xf numFmtId="165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5" fontId="7" fillId="0" borderId="18" xfId="0" applyNumberFormat="1" applyFont="1" applyFill="1" applyBorder="1" applyAlignment="1" applyProtection="1">
      <alignment horizontal="left" vertical="center"/>
    </xf>
    <xf numFmtId="165" fontId="3" fillId="0" borderId="7" xfId="0" applyNumberFormat="1" applyFont="1" applyFill="1" applyBorder="1" applyAlignment="1" applyProtection="1">
      <alignment horizontal="left" vertical="center"/>
    </xf>
    <xf numFmtId="165" fontId="3" fillId="0" borderId="11" xfId="0" applyNumberFormat="1" applyFont="1" applyFill="1" applyBorder="1" applyAlignment="1" applyProtection="1">
      <alignment horizontal="left" vertical="center"/>
    </xf>
    <xf numFmtId="165" fontId="3" fillId="0" borderId="22" xfId="0" applyNumberFormat="1" applyFont="1" applyFill="1" applyBorder="1" applyAlignment="1" applyProtection="1">
      <alignment horizontal="left" vertical="center"/>
    </xf>
    <xf numFmtId="165" fontId="3" fillId="0" borderId="23" xfId="0" applyNumberFormat="1" applyFont="1" applyFill="1" applyBorder="1" applyAlignment="1" applyProtection="1">
      <alignment horizontal="left" vertical="center"/>
    </xf>
    <xf numFmtId="165" fontId="3" fillId="0" borderId="4" xfId="0" applyNumberFormat="1" applyFont="1" applyFill="1" applyBorder="1" applyAlignment="1" applyProtection="1">
      <alignment horizontal="left" vertical="center"/>
    </xf>
    <xf numFmtId="165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5" fontId="15" fillId="9" borderId="31" xfId="0" applyNumberFormat="1" applyFont="1" applyFill="1" applyBorder="1" applyAlignment="1" applyProtection="1">
      <alignment horizontal="center" vertical="center"/>
    </xf>
    <xf numFmtId="165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5" fontId="7" fillId="0" borderId="0" xfId="0" quotePrefix="1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5" fontId="32" fillId="0" borderId="0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5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69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69" fontId="11" fillId="0" borderId="3" xfId="2" applyNumberFormat="1" applyFont="1" applyBorder="1" applyAlignment="1">
      <alignment vertical="center"/>
    </xf>
    <xf numFmtId="43" fontId="3" fillId="0" borderId="3" xfId="2" applyFont="1" applyFill="1" applyBorder="1" applyAlignment="1">
      <alignment horizontal="right" vertical="center"/>
    </xf>
    <xf numFmtId="43" fontId="11" fillId="0" borderId="3" xfId="2" applyFont="1" applyBorder="1" applyAlignment="1">
      <alignment horizontal="center" vertical="center"/>
    </xf>
    <xf numFmtId="43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43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1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1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1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1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1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1" fontId="67" fillId="11" borderId="37" xfId="0" applyNumberFormat="1" applyFont="1" applyFill="1" applyBorder="1" applyAlignment="1">
      <alignment horizontal="center"/>
    </xf>
    <xf numFmtId="171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1" fontId="56" fillId="11" borderId="40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Border="1"/>
    <xf numFmtId="165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5" fontId="4" fillId="3" borderId="4" xfId="0" applyNumberFormat="1" applyFont="1" applyFill="1" applyBorder="1" applyAlignment="1" applyProtection="1">
      <alignment horizontal="center" vertical="center"/>
    </xf>
    <xf numFmtId="165" fontId="4" fillId="3" borderId="15" xfId="0" applyNumberFormat="1" applyFont="1" applyFill="1" applyBorder="1" applyAlignment="1" applyProtection="1">
      <alignment horizontal="center" vertical="center"/>
    </xf>
    <xf numFmtId="165" fontId="4" fillId="3" borderId="16" xfId="0" applyNumberFormat="1" applyFont="1" applyFill="1" applyBorder="1" applyAlignment="1" applyProtection="1">
      <alignment horizontal="center" vertical="center"/>
    </xf>
    <xf numFmtId="165" fontId="4" fillId="3" borderId="5" xfId="0" applyNumberFormat="1" applyFont="1" applyFill="1" applyBorder="1" applyAlignment="1" applyProtection="1">
      <alignment horizontal="center" vertical="center"/>
    </xf>
    <xf numFmtId="165" fontId="4" fillId="3" borderId="0" xfId="0" applyNumberFormat="1" applyFont="1" applyFill="1" applyBorder="1" applyAlignment="1" applyProtection="1">
      <alignment horizontal="center" vertical="center"/>
    </xf>
    <xf numFmtId="165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5" fontId="3" fillId="0" borderId="0" xfId="0" applyNumberFormat="1" applyFont="1" applyFill="1" applyAlignment="1" applyProtection="1">
      <alignment horizontal="left" vertical="center" wrapText="1"/>
    </xf>
    <xf numFmtId="165" fontId="32" fillId="0" borderId="0" xfId="0" applyNumberFormat="1" applyFont="1" applyFill="1" applyBorder="1" applyAlignment="1" applyProtection="1">
      <alignment horizontal="center" vertical="center"/>
    </xf>
    <xf numFmtId="165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5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5" fontId="7" fillId="7" borderId="43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5" fontId="7" fillId="7" borderId="34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17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165" fontId="23" fillId="0" borderId="0" xfId="0" applyNumberFormat="1" applyFont="1" applyFill="1" applyBorder="1" applyAlignment="1" applyProtection="1">
      <alignment horizontal="center" vertical="center"/>
    </xf>
    <xf numFmtId="165" fontId="23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Border="1" applyAlignment="1" applyProtection="1">
      <alignment horizontal="center" vertical="center"/>
    </xf>
    <xf numFmtId="165" fontId="1" fillId="0" borderId="0" xfId="0" applyNumberFormat="1" applyFont="1" applyFill="1" applyAlignment="1" applyProtection="1">
      <alignment horizontal="left" vertical="center" wrapText="1"/>
    </xf>
    <xf numFmtId="165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165" fontId="23" fillId="0" borderId="0" xfId="0" applyNumberFormat="1" applyFont="1" applyFill="1" applyAlignment="1" applyProtection="1">
      <alignment horizontal="center" vertical="center"/>
    </xf>
    <xf numFmtId="165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5" fontId="25" fillId="0" borderId="0" xfId="0" applyNumberFormat="1" applyFont="1" applyFill="1" applyBorder="1" applyAlignment="1" applyProtection="1">
      <alignment horizontal="center" vertical="center"/>
    </xf>
    <xf numFmtId="165" fontId="25" fillId="0" borderId="0" xfId="0" quotePrefix="1" applyNumberFormat="1" applyFont="1" applyFill="1" applyBorder="1" applyAlignment="1" applyProtection="1">
      <alignment horizontal="center" vertical="center"/>
    </xf>
    <xf numFmtId="165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 xr:uid="{00000000-0005-0000-0000-000001000000}"/>
    <cellStyle name="Moneda" xfId="3" builtinId="4"/>
    <cellStyle name="Moneda 2" xfId="4" xr:uid="{00000000-0005-0000-0000-000003000000}"/>
    <cellStyle name="Normal" xfId="0" builtinId="0"/>
    <cellStyle name="Normal 2" xfId="5" xr:uid="{00000000-0005-0000-0000-000005000000}"/>
    <cellStyle name="Normal 2 2" xfId="6" xr:uid="{00000000-0005-0000-0000-000006000000}"/>
    <cellStyle name="Normal 2 3" xfId="7" xr:uid="{00000000-0005-0000-0000-000007000000}"/>
    <cellStyle name="Normal 3" xfId="8" xr:uid="{00000000-0005-0000-0000-000008000000}"/>
    <cellStyle name="Normal 4" xfId="9" xr:uid="{00000000-0005-0000-0000-000009000000}"/>
    <cellStyle name="Normal 5" xfId="10" xr:uid="{00000000-0005-0000-0000-00000A000000}"/>
    <cellStyle name="Porcentaje" xfId="12" builtinId="5"/>
    <cellStyle name="Porcentaje 2" xfId="11" xr:uid="{00000000-0005-0000-0000-00000C000000}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28</xdr:row>
      <xdr:rowOff>4233</xdr:rowOff>
    </xdr:from>
    <xdr:to>
      <xdr:col>5</xdr:col>
      <xdr:colOff>956733</xdr:colOff>
      <xdr:row>30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2"/>
  <sheetViews>
    <sheetView tabSelected="1" view="pageBreakPreview" zoomScaleNormal="100" zoomScaleSheetLayoutView="100" workbookViewId="0">
      <selection activeCell="I31" sqref="I31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652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653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249805.2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f>G9</f>
        <v>249805.2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249805.2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0.25230000000000002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312822.98333333334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0.25226770032542684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312822.98333333334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>
      <c r="B21" s="366"/>
      <c r="C21" s="367"/>
      <c r="D21" s="399" t="s">
        <v>588</v>
      </c>
      <c r="E21" s="400">
        <f>G21/G24</f>
        <v>4.7105301028582576E-2</v>
      </c>
      <c r="F21" s="367"/>
      <c r="G21" s="402">
        <f>Gestión!G19</f>
        <v>15464.06</v>
      </c>
      <c r="H21" s="362"/>
      <c r="I21" s="363"/>
    </row>
    <row r="22" spans="2:10">
      <c r="H22" s="362"/>
      <c r="I22" s="363"/>
      <c r="J22" s="435">
        <f>G27/G19</f>
        <v>7.9794328837411194E-2</v>
      </c>
    </row>
    <row r="23" spans="2:10" ht="6" customHeight="1">
      <c r="B23" s="366"/>
      <c r="C23" s="367"/>
      <c r="D23" s="367"/>
      <c r="E23" s="367"/>
      <c r="F23" s="367"/>
      <c r="G23" s="417"/>
      <c r="H23" s="362"/>
      <c r="I23" s="363"/>
    </row>
    <row r="24" spans="2:10" ht="15.6">
      <c r="B24" s="366"/>
      <c r="C24" s="413"/>
      <c r="D24" s="419" t="s">
        <v>650</v>
      </c>
      <c r="E24" s="419"/>
      <c r="F24" s="420"/>
      <c r="G24" s="421">
        <f>G19+G21</f>
        <v>328287.04333333333</v>
      </c>
      <c r="H24" s="362"/>
    </row>
    <row r="25" spans="2:10">
      <c r="B25" s="366"/>
      <c r="C25" s="367"/>
      <c r="D25" s="367"/>
      <c r="E25" s="367"/>
      <c r="F25" s="367"/>
      <c r="G25" s="417" t="s">
        <v>1</v>
      </c>
      <c r="H25" s="362"/>
      <c r="I25" s="363"/>
    </row>
    <row r="26" spans="2:10">
      <c r="B26" s="366"/>
      <c r="C26" s="367"/>
      <c r="D26" s="399" t="s">
        <v>367</v>
      </c>
      <c r="E26" s="400">
        <f>G26/G24</f>
        <v>3.0461147349779151E-2</v>
      </c>
      <c r="F26" s="367"/>
      <c r="G26" s="402">
        <v>10000</v>
      </c>
      <c r="H26" s="362"/>
      <c r="I26" s="363"/>
      <c r="J26" s="405"/>
    </row>
    <row r="27" spans="2:10" ht="13.8" thickBot="1">
      <c r="B27" s="366"/>
      <c r="C27" s="367"/>
      <c r="D27" s="399" t="s">
        <v>380</v>
      </c>
      <c r="E27" s="400">
        <f>ROUND(J22,4)</f>
        <v>7.9799999999999996E-2</v>
      </c>
      <c r="F27" s="367"/>
      <c r="G27" s="418">
        <f>Supervision!G158</f>
        <v>24961.5</v>
      </c>
      <c r="H27" s="362"/>
      <c r="I27" s="363"/>
      <c r="J27" s="405"/>
    </row>
    <row r="28" spans="2:10" ht="14.4" thickTop="1" thickBot="1">
      <c r="B28" s="366"/>
      <c r="C28" s="367"/>
      <c r="D28" s="399" t="s">
        <v>138</v>
      </c>
      <c r="E28" s="400">
        <f>G28/G24</f>
        <v>5.2669608353819383E-2</v>
      </c>
      <c r="F28" s="367"/>
      <c r="G28" s="434">
        <f>Liquidacion!G19</f>
        <v>17290.75</v>
      </c>
      <c r="H28" s="362"/>
      <c r="I28" s="363"/>
      <c r="J28" s="405"/>
    </row>
    <row r="29" spans="2:10">
      <c r="B29" s="366"/>
      <c r="C29" s="367"/>
      <c r="D29" s="367"/>
      <c r="E29" s="367"/>
      <c r="F29" s="367"/>
      <c r="G29" s="417"/>
      <c r="H29" s="362"/>
      <c r="I29" s="363"/>
    </row>
    <row r="30" spans="2:10" ht="17.399999999999999">
      <c r="B30" s="366"/>
      <c r="C30" s="413"/>
      <c r="D30" s="419" t="s">
        <v>381</v>
      </c>
      <c r="E30" s="419"/>
      <c r="F30" s="420"/>
      <c r="G30" s="422">
        <f>G24+G26+G27+G28</f>
        <v>380539.29333333333</v>
      </c>
      <c r="H30" s="362"/>
      <c r="J30" s="423"/>
    </row>
    <row r="31" spans="2:10" ht="12.75" customHeight="1" thickBot="1">
      <c r="B31" s="424"/>
      <c r="C31" s="425"/>
      <c r="D31" s="425"/>
      <c r="E31" s="425"/>
      <c r="F31" s="425"/>
      <c r="G31" s="426"/>
      <c r="H31" s="362"/>
      <c r="I31" s="363"/>
      <c r="J31" s="423"/>
    </row>
    <row r="32" spans="2:10" ht="12.75" customHeight="1">
      <c r="B32" s="443" t="str">
        <f>CONCATENATE("SON : ",letra(G30)," NUEVOS SOLES")</f>
        <v>SON : TRESCIENTOS OCHENTA MIL QUINIENTOS TREINTA Y NUEVE CON 29/100 NUEVOS SOLES</v>
      </c>
      <c r="C32" s="444"/>
      <c r="D32" s="444"/>
      <c r="E32" s="444"/>
      <c r="F32" s="444"/>
      <c r="G32" s="445"/>
      <c r="H32" s="362"/>
      <c r="I32" s="363"/>
    </row>
    <row r="33" spans="1:9" ht="12.75" customHeight="1">
      <c r="B33" s="446"/>
      <c r="C33" s="447"/>
      <c r="D33" s="447"/>
      <c r="E33" s="447"/>
      <c r="F33" s="447"/>
      <c r="G33" s="448"/>
      <c r="H33" s="362"/>
      <c r="I33" s="363"/>
    </row>
    <row r="34" spans="1:9" ht="13.5" customHeight="1" thickBot="1">
      <c r="B34" s="449"/>
      <c r="C34" s="450"/>
      <c r="D34" s="450"/>
      <c r="E34" s="450"/>
      <c r="F34" s="450"/>
      <c r="G34" s="451"/>
      <c r="H34" s="362"/>
      <c r="I34" s="363"/>
    </row>
    <row r="35" spans="1:9">
      <c r="B35" s="427"/>
      <c r="C35" s="427"/>
      <c r="D35" s="427"/>
      <c r="E35" s="427"/>
      <c r="F35" s="427"/>
      <c r="G35" s="427"/>
      <c r="H35" s="362"/>
      <c r="I35" s="363"/>
    </row>
    <row r="36" spans="1:9">
      <c r="A36" s="363"/>
      <c r="B36" s="427"/>
      <c r="C36" s="428"/>
      <c r="D36" s="427"/>
      <c r="E36" s="427"/>
      <c r="F36" s="427"/>
      <c r="G36" s="427"/>
    </row>
    <row r="37" spans="1:9">
      <c r="B37" s="427"/>
      <c r="C37" s="428"/>
      <c r="D37" s="427"/>
      <c r="E37" s="427"/>
      <c r="F37" s="427"/>
      <c r="G37" s="427"/>
    </row>
    <row r="38" spans="1:9">
      <c r="C38" s="428"/>
    </row>
    <row r="39" spans="1:9">
      <c r="C39" s="428"/>
      <c r="D39" s="362"/>
    </row>
    <row r="40" spans="1:9">
      <c r="D40" s="362"/>
    </row>
    <row r="42" spans="1:9">
      <c r="G42" s="405"/>
    </row>
  </sheetData>
  <mergeCells count="4">
    <mergeCell ref="B4:G4"/>
    <mergeCell ref="C11:G11"/>
    <mergeCell ref="B32:G34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+'C.Directo'!G16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+'C.Directo'!G17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+'C.Directo'!G18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+'C.Directo'!G19</f>
        <v>0</v>
      </c>
      <c r="D19" s="171">
        <f>+G.General!G18</f>
        <v>0</v>
      </c>
      <c r="E19" s="171" t="e">
        <f>+RESUMEN!#REF!+RESUMEN!#REF!+RESUMEN!#REF!+RESUMEN!G26+RESUMEN!G21+RESUMEN!G28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0" t="s">
        <v>70</v>
      </c>
      <c r="B3" s="470"/>
      <c r="C3" s="470"/>
      <c r="D3" s="470"/>
      <c r="E3" s="470"/>
      <c r="F3" s="470"/>
      <c r="G3" s="470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9" t="s">
        <v>37</v>
      </c>
      <c r="D15" s="473"/>
      <c r="E15" s="473"/>
      <c r="F15" s="474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72" t="s">
        <v>73</v>
      </c>
      <c r="C20" s="473"/>
      <c r="D20" s="473"/>
      <c r="E20" s="473"/>
      <c r="F20" s="474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71"/>
      <c r="C26" s="471"/>
      <c r="D26" s="471"/>
      <c r="E26" s="471"/>
      <c r="F26" s="471"/>
      <c r="G26" s="471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67" t="s">
        <v>3</v>
      </c>
      <c r="C52" s="468"/>
      <c r="D52" s="468"/>
      <c r="E52" s="469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67" t="s">
        <v>3</v>
      </c>
      <c r="C62" s="468"/>
      <c r="D62" s="468"/>
      <c r="E62" s="469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67" t="s">
        <v>3</v>
      </c>
      <c r="C76" s="468"/>
      <c r="D76" s="468"/>
      <c r="E76" s="469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67" t="s">
        <v>3</v>
      </c>
      <c r="C87" s="468"/>
      <c r="D87" s="468"/>
      <c r="E87" s="469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67" t="s">
        <v>3</v>
      </c>
      <c r="C99" s="468"/>
      <c r="D99" s="468"/>
      <c r="E99" s="469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67" t="s">
        <v>3</v>
      </c>
      <c r="C111" s="468"/>
      <c r="D111" s="468"/>
      <c r="E111" s="469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67" t="s">
        <v>3</v>
      </c>
      <c r="C121" s="468"/>
      <c r="D121" s="468"/>
      <c r="E121" s="469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67" t="s">
        <v>3</v>
      </c>
      <c r="C131" s="468"/>
      <c r="D131" s="468"/>
      <c r="E131" s="469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75" t="s">
        <v>3</v>
      </c>
      <c r="C140" s="476"/>
      <c r="D140" s="476"/>
      <c r="E140" s="477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75" t="s">
        <v>3</v>
      </c>
      <c r="C152" s="476"/>
      <c r="D152" s="476"/>
      <c r="E152" s="477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75" t="s">
        <v>3</v>
      </c>
      <c r="C434" s="476"/>
      <c r="D434" s="476"/>
      <c r="E434" s="477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75" t="s">
        <v>3</v>
      </c>
      <c r="C459" s="476"/>
      <c r="D459" s="476"/>
      <c r="E459" s="477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75" t="s">
        <v>3</v>
      </c>
      <c r="C467" s="476"/>
      <c r="D467" s="476"/>
      <c r="E467" s="477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80" t="s">
        <v>73</v>
      </c>
      <c r="B471" s="480"/>
      <c r="C471" s="480"/>
      <c r="D471" s="480"/>
      <c r="E471" s="480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80"/>
      <c r="C475" s="481"/>
      <c r="D475" s="481"/>
      <c r="E475" s="481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80"/>
      <c r="B479" s="480"/>
      <c r="C479" s="480"/>
      <c r="D479" s="480"/>
      <c r="E479" s="480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8"/>
      <c r="B486" s="478"/>
      <c r="C486" s="478"/>
      <c r="D486" s="478"/>
      <c r="E486" s="478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  <mergeCell ref="B76:E76"/>
    <mergeCell ref="A3:G3"/>
    <mergeCell ref="B87:E87"/>
    <mergeCell ref="A26:G26"/>
    <mergeCell ref="B131:E131"/>
    <mergeCell ref="B121:E121"/>
    <mergeCell ref="B20:F20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tabColor indexed="43"/>
    <pageSetUpPr fitToPage="1"/>
  </sheetPr>
  <dimension ref="A1:K233"/>
  <sheetViews>
    <sheetView view="pageBreakPreview" zoomScale="90" zoomScaleNormal="85" zoomScaleSheetLayoutView="90" zoomScalePageLayoutView="75" workbookViewId="0">
      <selection activeCell="F126" sqref="F126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92" t="s">
        <v>68</v>
      </c>
      <c r="B3" s="492"/>
      <c r="C3" s="492"/>
      <c r="D3" s="492"/>
      <c r="E3" s="492"/>
      <c r="F3" s="492"/>
      <c r="G3" s="492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93" t="s">
        <v>654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95" t="s">
        <v>41</v>
      </c>
      <c r="C19" s="496"/>
      <c r="D19" s="496"/>
      <c r="E19" s="496"/>
      <c r="F19" s="496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90" t="s">
        <v>42</v>
      </c>
      <c r="B24" s="491"/>
      <c r="C24" s="491"/>
      <c r="D24" s="491"/>
      <c r="E24" s="491"/>
      <c r="F24" s="491"/>
      <c r="G24" s="491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90" t="s">
        <v>43</v>
      </c>
      <c r="B26" s="490"/>
      <c r="C26" s="490"/>
      <c r="D26" s="490"/>
      <c r="E26" s="490"/>
      <c r="F26" s="490"/>
      <c r="G26" s="490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7" t="s">
        <v>3</v>
      </c>
      <c r="C46" s="497"/>
      <c r="D46" s="497"/>
      <c r="E46" s="497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84" t="s">
        <v>3</v>
      </c>
      <c r="C66" s="485"/>
      <c r="D66" s="485"/>
      <c r="E66" s="486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87" t="s">
        <v>3</v>
      </c>
      <c r="C82" s="488"/>
      <c r="D82" s="488"/>
      <c r="E82" s="489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87" t="s">
        <v>3</v>
      </c>
      <c r="C101" s="488"/>
      <c r="D101" s="488"/>
      <c r="E101" s="489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87" t="s">
        <v>3</v>
      </c>
      <c r="C117" s="488"/>
      <c r="D117" s="488"/>
      <c r="E117" s="489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87" t="s">
        <v>3</v>
      </c>
      <c r="C135" s="488"/>
      <c r="D135" s="488"/>
      <c r="E135" s="489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3" t="s">
        <v>3</v>
      </c>
      <c r="C146" s="483"/>
      <c r="D146" s="483"/>
      <c r="E146" s="483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3" t="s">
        <v>3</v>
      </c>
      <c r="C184" s="483"/>
      <c r="D184" s="483"/>
      <c r="E184" s="483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3" t="s">
        <v>3</v>
      </c>
      <c r="C194" s="483"/>
      <c r="D194" s="483"/>
      <c r="E194" s="483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3" t="s">
        <v>3</v>
      </c>
      <c r="C201" s="483"/>
      <c r="D201" s="483"/>
      <c r="E201" s="483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82" t="s">
        <v>41</v>
      </c>
      <c r="B204" s="482"/>
      <c r="C204" s="482"/>
      <c r="D204" s="482"/>
      <c r="E204" s="482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6:G26"/>
    <mergeCell ref="A24:G24"/>
    <mergeCell ref="A3:G3"/>
    <mergeCell ref="C10:G11"/>
    <mergeCell ref="B201:E201"/>
    <mergeCell ref="C14:F14"/>
    <mergeCell ref="B19:F19"/>
    <mergeCell ref="B46:E46"/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</mergeCells>
  <phoneticPr fontId="0" type="noConversion"/>
  <conditionalFormatting sqref="C12:G12">
    <cfRule type="aboveAverage" dxfId="1" priority="4" stopIfTrue="1" aboveAverage="0"/>
  </conditionalFormatting>
  <conditionalFormatting sqref="C10">
    <cfRule type="aboveAverage" dxfId="0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horizontalDpi="300" verticalDpi="300" r:id="rId1"/>
  <headerFooter alignWithMargins="0"/>
  <rowBreaks count="2" manualBreakCount="2">
    <brk id="67" max="6" man="1"/>
    <brk id="149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498" t="s">
        <v>280</v>
      </c>
      <c r="B1" s="498"/>
      <c r="C1" s="498"/>
      <c r="D1" s="498"/>
      <c r="E1" s="498"/>
      <c r="F1" s="498"/>
      <c r="G1" s="498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3.8">
      <c r="A10" s="70"/>
      <c r="B10" s="29"/>
      <c r="C10" s="499"/>
      <c r="D10" s="499"/>
      <c r="E10" s="499"/>
      <c r="F10" s="499"/>
      <c r="G10" s="499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95" t="s">
        <v>282</v>
      </c>
      <c r="C19" s="496"/>
      <c r="D19" s="496"/>
      <c r="E19" s="496"/>
      <c r="F19" s="496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90" t="s">
        <v>42</v>
      </c>
      <c r="B23" s="491"/>
      <c r="C23" s="491"/>
      <c r="D23" s="491"/>
      <c r="E23" s="491"/>
      <c r="F23" s="491"/>
      <c r="G23" s="491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87" t="s">
        <v>3</v>
      </c>
      <c r="C38" s="488"/>
      <c r="D38" s="488"/>
      <c r="E38" s="489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501" t="s">
        <v>281</v>
      </c>
      <c r="B41" s="501"/>
      <c r="C41" s="501"/>
      <c r="D41" s="501"/>
      <c r="E41" s="501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7" t="s">
        <v>3</v>
      </c>
      <c r="C56" s="497"/>
      <c r="D56" s="497"/>
      <c r="E56" s="497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2" t="s">
        <v>3</v>
      </c>
      <c r="C68" s="502"/>
      <c r="D68" s="502"/>
      <c r="E68" s="502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3" t="s">
        <v>3</v>
      </c>
      <c r="C78" s="483"/>
      <c r="D78" s="483"/>
      <c r="E78" s="483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500" t="s">
        <v>3</v>
      </c>
      <c r="C89" s="500"/>
      <c r="D89" s="500"/>
      <c r="E89" s="500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500" t="s">
        <v>3</v>
      </c>
      <c r="C98" s="500"/>
      <c r="D98" s="500"/>
      <c r="E98" s="500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7" t="s">
        <v>3</v>
      </c>
      <c r="C109" s="497"/>
      <c r="D109" s="497"/>
      <c r="E109" s="497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3" t="s">
        <v>3</v>
      </c>
      <c r="C118" s="483"/>
      <c r="D118" s="483"/>
      <c r="E118" s="483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3" t="s">
        <v>3</v>
      </c>
      <c r="C127" s="483"/>
      <c r="D127" s="483"/>
      <c r="E127" s="483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3" t="s">
        <v>3</v>
      </c>
      <c r="C154" s="483"/>
      <c r="D154" s="483"/>
      <c r="E154" s="483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87" t="s">
        <v>3</v>
      </c>
      <c r="C162" s="488"/>
      <c r="D162" s="488"/>
      <c r="E162" s="489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87" t="s">
        <v>3</v>
      </c>
      <c r="C175" s="488"/>
      <c r="D175" s="488"/>
      <c r="E175" s="489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501" t="s">
        <v>284</v>
      </c>
      <c r="B178" s="501"/>
      <c r="C178" s="501"/>
      <c r="D178" s="501"/>
      <c r="E178" s="501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indexed="43"/>
  </sheetPr>
  <dimension ref="A1:J168"/>
  <sheetViews>
    <sheetView view="pageBreakPreview" zoomScale="85" zoomScaleNormal="70" zoomScaleSheetLayoutView="85" workbookViewId="0">
      <selection activeCell="C10" sqref="C10:G11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18" customHeight="1">
      <c r="B11" s="29"/>
      <c r="C11" s="499"/>
      <c r="D11" s="499"/>
      <c r="E11" s="499"/>
      <c r="F11" s="499"/>
      <c r="G11" s="499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95" t="s">
        <v>76</v>
      </c>
      <c r="C18" s="496"/>
      <c r="D18" s="496"/>
      <c r="E18" s="496"/>
      <c r="F18" s="496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7" t="s">
        <v>3</v>
      </c>
      <c r="C40" s="497"/>
      <c r="D40" s="497"/>
      <c r="E40" s="497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2" t="s">
        <v>3</v>
      </c>
      <c r="C53" s="502"/>
      <c r="D53" s="502"/>
      <c r="E53" s="502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3" t="s">
        <v>3</v>
      </c>
      <c r="C63" s="483"/>
      <c r="D63" s="483"/>
      <c r="E63" s="483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3" t="s">
        <v>3</v>
      </c>
      <c r="C106" s="483"/>
      <c r="D106" s="483"/>
      <c r="E106" s="483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3" t="s">
        <v>3</v>
      </c>
      <c r="C114" s="483"/>
      <c r="D114" s="483"/>
      <c r="E114" s="483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3" t="s">
        <v>3</v>
      </c>
      <c r="C138" s="483"/>
      <c r="D138" s="483"/>
      <c r="E138" s="483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3" t="s">
        <v>3</v>
      </c>
      <c r="C145" s="483"/>
      <c r="D145" s="483"/>
      <c r="E145" s="483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87" t="s">
        <v>3</v>
      </c>
      <c r="C156" s="488"/>
      <c r="D156" s="488"/>
      <c r="E156" s="489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501" t="s">
        <v>76</v>
      </c>
      <c r="B158" s="501"/>
      <c r="C158" s="501"/>
      <c r="D158" s="501"/>
      <c r="E158" s="501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  <mergeCell ref="A158:E158"/>
    <mergeCell ref="B106:E106"/>
    <mergeCell ref="B63:E63"/>
    <mergeCell ref="B53:E53"/>
    <mergeCell ref="A25:G25"/>
  </mergeCells>
  <phoneticPr fontId="0" type="noConversion"/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indexed="43"/>
  </sheetPr>
  <dimension ref="A1:J163"/>
  <sheetViews>
    <sheetView view="pageBreakPreview" zoomScale="82" zoomScaleNormal="100" zoomScaleSheetLayoutView="82" workbookViewId="0">
      <selection activeCell="G154" sqref="G154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24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157</v>
      </c>
      <c r="C19" s="496"/>
      <c r="D19" s="496"/>
      <c r="E19" s="496"/>
      <c r="F19" s="496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154</v>
      </c>
      <c r="B29" s="490"/>
      <c r="C29" s="490"/>
      <c r="D29" s="490"/>
      <c r="E29" s="490"/>
      <c r="F29" s="490"/>
      <c r="G29" s="490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157</v>
      </c>
      <c r="B154" s="501"/>
      <c r="C154" s="501"/>
      <c r="D154" s="501"/>
      <c r="E154" s="501"/>
      <c r="F154" s="87" t="s">
        <v>0</v>
      </c>
      <c r="G154" s="164">
        <f>+G19</f>
        <v>17290.75</v>
      </c>
      <c r="I154" s="63">
        <f>RESUMEN!G30</f>
        <v>380539.29333333333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  <mergeCell ref="A3:G3"/>
    <mergeCell ref="B77:E77"/>
    <mergeCell ref="A29:G29"/>
    <mergeCell ref="C14:F14"/>
    <mergeCell ref="B19:F19"/>
  </mergeCells>
  <phoneticPr fontId="0" type="noConversion"/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498" t="s">
        <v>169</v>
      </c>
      <c r="B1" s="498"/>
      <c r="C1" s="498"/>
      <c r="D1" s="498"/>
      <c r="E1" s="498"/>
      <c r="F1" s="498"/>
      <c r="G1" s="498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499" t="str">
        <f>'R'!C13</f>
        <v>“OPTIMIZACIÓN  DE COBERTURA METALICA Y TRIBUNA DE LA IE No. 550006 BELEN DE OSMA Y PARDO, PROVINCIA DE ANDAHUAYLAS-REGION APURIMAC"</v>
      </c>
      <c r="D9" s="499"/>
      <c r="E9" s="499"/>
      <c r="F9" s="499"/>
      <c r="G9" s="499"/>
    </row>
    <row r="10" spans="1:7" ht="18" customHeight="1">
      <c r="B10" s="29"/>
      <c r="C10" s="499"/>
      <c r="D10" s="499"/>
      <c r="E10" s="499"/>
      <c r="F10" s="499"/>
      <c r="G10" s="499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94" t="s">
        <v>37</v>
      </c>
      <c r="D13" s="494"/>
      <c r="E13" s="494"/>
      <c r="F13" s="494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95" t="s">
        <v>263</v>
      </c>
      <c r="C18" s="496"/>
      <c r="D18" s="496"/>
      <c r="E18" s="496"/>
      <c r="F18" s="496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90" t="s">
        <v>42</v>
      </c>
      <c r="B22" s="491"/>
      <c r="C22" s="491"/>
      <c r="D22" s="491"/>
      <c r="E22" s="491"/>
      <c r="F22" s="491"/>
      <c r="G22" s="491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90" t="s">
        <v>261</v>
      </c>
      <c r="B24" s="490"/>
      <c r="C24" s="490"/>
      <c r="D24" s="490"/>
      <c r="E24" s="490"/>
      <c r="F24" s="490"/>
      <c r="G24" s="490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7" t="s">
        <v>3</v>
      </c>
      <c r="C37" s="497"/>
      <c r="D37" s="497"/>
      <c r="E37" s="497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2" t="s">
        <v>3</v>
      </c>
      <c r="C49" s="502"/>
      <c r="D49" s="502"/>
      <c r="E49" s="502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3" t="s">
        <v>3</v>
      </c>
      <c r="C59" s="483"/>
      <c r="D59" s="483"/>
      <c r="E59" s="483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7" t="s">
        <v>3</v>
      </c>
      <c r="C90" s="497"/>
      <c r="D90" s="497"/>
      <c r="E90" s="497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3" t="s">
        <v>3</v>
      </c>
      <c r="C176" s="483"/>
      <c r="D176" s="483"/>
      <c r="E176" s="483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3" t="s">
        <v>3</v>
      </c>
      <c r="C186" s="483"/>
      <c r="D186" s="483"/>
      <c r="E186" s="483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87" t="s">
        <v>3</v>
      </c>
      <c r="C197" s="488"/>
      <c r="D197" s="488"/>
      <c r="E197" s="489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501" t="s">
        <v>262</v>
      </c>
      <c r="B200" s="501"/>
      <c r="C200" s="501"/>
      <c r="D200" s="501"/>
      <c r="E200" s="501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1">
    <tabColor indexed="43"/>
  </sheetPr>
  <dimension ref="A1:J163"/>
  <sheetViews>
    <sheetView view="pageBreakPreview" zoomScale="106" zoomScaleNormal="100" zoomScaleSheetLayoutView="106" workbookViewId="0">
      <selection activeCell="G18" sqref="G18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99" t="s">
        <v>654</v>
      </c>
      <c r="D10" s="499"/>
      <c r="E10" s="499"/>
      <c r="F10" s="499"/>
      <c r="G10" s="499"/>
    </row>
    <row r="11" spans="1:7" ht="22.95" customHeight="1">
      <c r="B11" s="29"/>
      <c r="C11" s="499"/>
      <c r="D11" s="499"/>
      <c r="E11" s="499"/>
      <c r="F11" s="499"/>
      <c r="G11" s="499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94" t="s">
        <v>37</v>
      </c>
      <c r="D14" s="494"/>
      <c r="E14" s="494"/>
      <c r="F14" s="494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95" t="s">
        <v>589</v>
      </c>
      <c r="C19" s="496"/>
      <c r="D19" s="496"/>
      <c r="E19" s="496"/>
      <c r="F19" s="496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90" t="s">
        <v>42</v>
      </c>
      <c r="B27" s="491"/>
      <c r="C27" s="491"/>
      <c r="D27" s="491"/>
      <c r="E27" s="491"/>
      <c r="F27" s="491"/>
      <c r="G27" s="491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90" t="s">
        <v>588</v>
      </c>
      <c r="B29" s="490"/>
      <c r="C29" s="490"/>
      <c r="D29" s="490"/>
      <c r="E29" s="490"/>
      <c r="F29" s="490"/>
      <c r="G29" s="490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7" t="s">
        <v>3</v>
      </c>
      <c r="C44" s="497"/>
      <c r="D44" s="497"/>
      <c r="E44" s="497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2" t="s">
        <v>3</v>
      </c>
      <c r="C56" s="502"/>
      <c r="D56" s="502"/>
      <c r="E56" s="502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3" t="s">
        <v>3</v>
      </c>
      <c r="C66" s="483"/>
      <c r="D66" s="483"/>
      <c r="E66" s="483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500" t="s">
        <v>3</v>
      </c>
      <c r="C77" s="500"/>
      <c r="D77" s="500"/>
      <c r="E77" s="500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500" t="s">
        <v>3</v>
      </c>
      <c r="C86" s="500"/>
      <c r="D86" s="500"/>
      <c r="E86" s="500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7" t="s">
        <v>3</v>
      </c>
      <c r="C97" s="497"/>
      <c r="D97" s="497"/>
      <c r="E97" s="497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3" t="s">
        <v>3</v>
      </c>
      <c r="C106" s="483"/>
      <c r="D106" s="483"/>
      <c r="E106" s="483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3" t="s">
        <v>3</v>
      </c>
      <c r="C123" s="483"/>
      <c r="D123" s="483"/>
      <c r="E123" s="483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3" t="s">
        <v>3</v>
      </c>
      <c r="C132" s="483"/>
      <c r="D132" s="483"/>
      <c r="E132" s="483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87" t="s">
        <v>3</v>
      </c>
      <c r="C139" s="488"/>
      <c r="D139" s="488"/>
      <c r="E139" s="489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87" t="s">
        <v>3</v>
      </c>
      <c r="C151" s="488"/>
      <c r="D151" s="488"/>
      <c r="E151" s="489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501" t="s">
        <v>589</v>
      </c>
      <c r="B154" s="501"/>
      <c r="C154" s="501"/>
      <c r="D154" s="501"/>
      <c r="E154" s="501"/>
      <c r="F154" s="87" t="s">
        <v>0</v>
      </c>
      <c r="G154" s="164">
        <f>+G19</f>
        <v>15464.06</v>
      </c>
      <c r="I154" s="63">
        <f>RESUMEN!G30</f>
        <v>380539.29333333333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29:G29"/>
    <mergeCell ref="A3:G3"/>
    <mergeCell ref="C10:G11"/>
    <mergeCell ref="C14:F14"/>
    <mergeCell ref="B19:F19"/>
    <mergeCell ref="A27:G27"/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</mergeCells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4</cp:lastModifiedBy>
  <cp:lastPrinted>2020-05-20T19:29:32Z</cp:lastPrinted>
  <dcterms:created xsi:type="dcterms:W3CDTF">2003-01-21T17:07:22Z</dcterms:created>
  <dcterms:modified xsi:type="dcterms:W3CDTF">2020-07-02T16:30:56Z</dcterms:modified>
</cp:coreProperties>
</file>