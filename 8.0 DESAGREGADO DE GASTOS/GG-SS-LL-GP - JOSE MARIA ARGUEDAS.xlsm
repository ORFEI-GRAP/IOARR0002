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_SEC\Documents\GitHub\IOARR0002-JM-ARGUEDAS\8.0 DESAGREGADO DE GASTOS\"/>
    </mc:Choice>
  </mc:AlternateContent>
  <bookViews>
    <workbookView xWindow="-105" yWindow="-105" windowWidth="30930" windowHeight="16890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RESUMEN!$B$4:$G$34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0" i="25" l="1"/>
  <c r="G24" i="25"/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6" i="16"/>
  <c r="E98" i="11"/>
  <c r="E114" i="11"/>
  <c r="E79" i="11" s="1"/>
  <c r="E132" i="11"/>
  <c r="F43" i="11"/>
  <c r="F144" i="12"/>
  <c r="F145" i="12" s="1"/>
  <c r="E54" i="22"/>
  <c r="E55" i="22"/>
  <c r="E6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51" i="16" l="1"/>
  <c r="G143" i="16" s="1"/>
  <c r="F139" i="16"/>
  <c r="G134" i="16" s="1"/>
  <c r="G126" i="16" s="1"/>
  <c r="G17" i="16" s="1"/>
  <c r="E88" i="22"/>
  <c r="F44" i="16"/>
  <c r="G35" i="16" s="1"/>
  <c r="F67" i="22"/>
  <c r="D77" i="21"/>
  <c r="D88" i="21" s="1"/>
  <c r="F88" i="21" s="1"/>
  <c r="F90" i="21" s="1"/>
  <c r="G81" i="21" s="1"/>
  <c r="F68" i="21"/>
  <c r="F70" i="21" s="1"/>
  <c r="E108" i="22"/>
  <c r="F108" i="22" s="1"/>
  <c r="F109" i="22" s="1"/>
  <c r="G102" i="22" s="1"/>
  <c r="G100" i="22" s="1"/>
  <c r="E77" i="22"/>
  <c r="F55" i="22"/>
  <c r="F56" i="22" s="1"/>
  <c r="G47" i="22" s="1"/>
  <c r="E97" i="22"/>
  <c r="F97" i="22" s="1"/>
  <c r="F98" i="22" s="1"/>
  <c r="F107" i="22"/>
  <c r="F123" i="16"/>
  <c r="G108" i="16" s="1"/>
  <c r="G99" i="16" s="1"/>
  <c r="G16" i="16" s="1"/>
  <c r="I17" i="10" s="1"/>
  <c r="F78" i="21"/>
  <c r="F186" i="21"/>
  <c r="G180" i="21" s="1"/>
  <c r="G178" i="21" s="1"/>
  <c r="G16" i="21" s="1"/>
  <c r="F176" i="21"/>
  <c r="G95" i="21" s="1"/>
  <c r="G93" i="21" s="1"/>
  <c r="G15" i="21" s="1"/>
  <c r="G21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F77" i="2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6" i="22" s="1"/>
  <c r="F18" i="10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F66" i="22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41" i="22"/>
  <c r="G18" i="22"/>
  <c r="F20" i="10" s="1"/>
  <c r="F79" i="11"/>
  <c r="F52" i="13"/>
  <c r="F111" i="13"/>
  <c r="F131" i="13"/>
  <c r="F79" i="21" l="1"/>
  <c r="G61" i="21" s="1"/>
  <c r="G26" i="21" s="1"/>
  <c r="G14" i="21" s="1"/>
  <c r="G18" i="21" s="1"/>
  <c r="G200" i="21" s="1"/>
  <c r="F68" i="22"/>
  <c r="G111" i="22"/>
  <c r="G15" i="22" s="1"/>
  <c r="F17" i="10" s="1"/>
  <c r="F89" i="22"/>
  <c r="G80" i="22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33" i="16" l="1"/>
  <c r="G15" i="16" s="1"/>
  <c r="G19" i="16" s="1"/>
  <c r="G28" i="25" s="1"/>
  <c r="E19" i="10" s="1"/>
  <c r="G28" i="12"/>
  <c r="G15" i="25"/>
  <c r="G471" i="13"/>
  <c r="G28" i="11"/>
  <c r="G15" i="11" s="1"/>
  <c r="D16" i="10" s="1"/>
  <c r="G154" i="16" l="1"/>
  <c r="H16" i="10"/>
  <c r="H21" i="10" s="1"/>
  <c r="G14" i="12"/>
  <c r="I16" i="10"/>
  <c r="I21" i="10" s="1"/>
  <c r="G18" i="12"/>
  <c r="G158" i="12" s="1"/>
  <c r="G27" i="25" s="1"/>
  <c r="G19" i="11"/>
  <c r="G16" i="25" s="1"/>
  <c r="D21" i="10"/>
  <c r="D22" i="10" s="1"/>
  <c r="G16" i="10"/>
  <c r="J18" i="25" l="1"/>
  <c r="E16" i="25" s="1"/>
  <c r="K19" i="11"/>
  <c r="K22" i="11" s="1"/>
  <c r="K25" i="11" s="1"/>
  <c r="G204" i="11"/>
  <c r="K16" i="10"/>
  <c r="G17" i="25" l="1"/>
  <c r="G19" i="25" s="1"/>
  <c r="J22" i="25" s="1"/>
  <c r="E27" i="25" l="1"/>
  <c r="G19" i="10"/>
  <c r="B32" i="25"/>
  <c r="E26" i="25" l="1"/>
  <c r="E28" i="25"/>
  <c r="E21" i="25"/>
  <c r="I154" i="16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<sst xmlns="http://schemas.openxmlformats.org/spreadsheetml/2006/main" count="2149" uniqueCount="655">
  <si>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</si>
  <si>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</si>
  <si>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</si>
  <si>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</si>
  <si>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</si>
  <si>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</si>
  <si>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</si>
  <si>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</si>
  <si>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</si>
  <si>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</si>
  <si>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</si>
  <si>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</si>
  <si>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</si>
  <si>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</si>
  <si>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</si>
  <si>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</si>
  <si>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</si>
  <si>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</si>
  <si>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</si>
  <si>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</si>
  <si>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</si>
  <si>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</si>
  <si>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</si>
  <si>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</si>
  <si>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</si>
  <si>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</si>
  <si>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</si>
  <si>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</si>
  <si>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</si>
  <si>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</si>
  <si>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</si>
  <si>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</si>
  <si>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</si>
  <si>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</si>
  <si>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</si>
  <si>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</si>
  <si>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</si>
  <si>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</si>
  <si>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</si>
  <si>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</si>
  <si>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</si>
  <si>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</si>
  <si>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</si>
  <si>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</si>
  <si>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</si>
  <si>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</si>
  <si>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</si>
  <si>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</si>
  <si>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</si>
  <si>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</si>
  <si>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</si>
  <si>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</si>
  <si>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</si>
  <si>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</si>
  <si>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</si>
  <si>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</si>
  <si>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</si>
  <si>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</si>
  <si>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</si>
  <si>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</si>
  <si>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</si>
  <si>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</si>
  <si>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</si>
  <si>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</si>
  <si>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</si>
  <si>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</si>
  <si>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</si>
  <si>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</si>
  <si>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</si>
  <si>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</si>
  <si>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</si>
  <si>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</si>
  <si>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</si>
  <si>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</si>
  <si>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</si>
  <si>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</si>
  <si>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</si>
  <si>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</si>
  <si>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</si>
  <si>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</si>
  <si>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</si>
  <si>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</si>
  <si>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</si>
  <si>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</si>
  <si>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</si>
  <si>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</si>
  <si>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</si>
  <si>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</si>
  <si>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</si>
  <si>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</si>
  <si>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</si>
  <si>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</si>
  <si>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</si>
  <si>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</si>
  <si>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</si>
  <si>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</si>
  <si>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</si>
  <si>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</si>
  <si>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</si>
  <si>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</si>
  <si>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</si>
  <si>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</si>
  <si>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</si>
  <si>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</si>
  <si>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</si>
  <si>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</si>
  <si>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</si>
  <si>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</si>
  <si>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</si>
  <si>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</si>
  <si>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</si>
  <si>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</si>
  <si>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</si>
  <si>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</si>
  <si>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</si>
  <si>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</si>
  <si>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</si>
  <si>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</si>
  <si>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</si>
  <si>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</si>
  <si>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</si>
  <si>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</si>
  <si>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</si>
  <si>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</si>
  <si>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</si>
  <si>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</si>
  <si>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</si>
  <si>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</si>
  <si>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</si>
  <si>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</si>
  <si>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</si>
  <si>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</si>
  <si>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</si>
  <si>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</si>
  <si>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</si>
  <si>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</si>
  <si>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</si>
  <si>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</si>
  <si>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</si>
  <si>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</si>
  <si>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</si>
  <si>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</si>
  <si>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</si>
  <si>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</si>
  <si>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</si>
  <si>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</si>
  <si>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</si>
  <si>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</si>
  <si>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</si>
  <si>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</si>
  <si>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</si>
  <si>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</si>
  <si>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</si>
  <si>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</si>
  <si>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</si>
  <si>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</si>
  <si>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</si>
  <si>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</si>
  <si>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</si>
  <si>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</si>
  <si>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</si>
  <si>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</si>
  <si>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</si>
  <si>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</si>
  <si>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</si>
  <si>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</si>
  <si>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</si>
  <si>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</si>
  <si>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</si>
  <si>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</si>
  <si>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</si>
  <si>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</si>
  <si>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</si>
  <si>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</si>
  <si>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</si>
  <si>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</si>
  <si>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</si>
  <si>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</si>
  <si>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</si>
  <si>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</si>
  <si>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</si>
  <si>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</si>
  <si>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</si>
  <si>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</si>
  <si>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</si>
  <si>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</si>
  <si>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</si>
  <si>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</si>
  <si>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</si>
  <si>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</si>
  <si>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</si>
  <si>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</si>
  <si>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</si>
  <si>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</si>
  <si>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</si>
  <si>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</si>
  <si>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</si>
  <si>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</si>
  <si>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</si>
  <si>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</si>
  <si>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</si>
  <si>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</si>
  <si>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</si>
  <si>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</si>
  <si>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</si>
  <si>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</si>
  <si>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</si>
  <si>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</si>
  <si>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</si>
  <si>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</si>
  <si>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</si>
  <si>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</si>
  <si>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</si>
  <si>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</si>
  <si>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</si>
  <si>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</si>
  <si>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</si>
  <si>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</si>
  <si>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</si>
  <si>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</si>
  <si>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</si>
  <si>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</si>
  <si>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</si>
  <si>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</si>
  <si>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</si>
  <si>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</si>
  <si>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</si>
  <si>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</si>
  <si>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</si>
  <si>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</si>
  <si>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</si>
  <si>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</si>
  <si>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</si>
  <si>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</si>
  <si>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</si>
  <si>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</si>
  <si>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</si>
  <si>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</si>
  <si>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</si>
  <si>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</si>
  <si>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</si>
  <si>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</si>
  <si>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</si>
  <si>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</si>
  <si>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</si>
  <si>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</si>
  <si>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</si>
  <si>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</si>
  <si>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</si>
  <si>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</si>
  <si>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</si>
  <si>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</si>
  <si>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</si>
  <si>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</si>
  <si>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</si>
  <si>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</si>
  <si>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</si>
  <si>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</si>
  <si>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</si>
  <si>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</si>
  <si>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</si>
  <si>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</si>
  <si>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</si>
  <si>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</si>
  <si>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</si>
  <si>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</si>
  <si>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</si>
  <si>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</si>
  <si>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</si>
  <si>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</si>
  <si>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</si>
  <si>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</si>
  <si>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</si>
  <si>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</si>
  <si>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</si>
  <si>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</si>
  <si>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</si>
  <si>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</si>
  <si>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</si>
  <si>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</si>
  <si>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</si>
  <si>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</si>
  <si>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</si>
  <si>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</si>
  <si>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</si>
  <si>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</si>
  <si>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</si>
  <si>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</si>
  <si>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</si>
  <si>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</si>
  <si>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</si>
  <si>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</si>
  <si>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</si>
  <si>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</si>
  <si>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</si>
  <si>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</si>
  <si>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</si>
  <si>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</si>
  <si>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</si>
  <si>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</si>
  <si>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</si>
  <si>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</si>
  <si>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</si>
  <si>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</si>
  <si>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</si>
  <si>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</si>
  <si>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</si>
  <si>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</si>
  <si>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</si>
  <si>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</si>
  <si>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</si>
  <si>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</si>
  <si>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</si>
  <si>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</si>
  <si>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</si>
  <si>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</si>
  <si>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</si>
  <si>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</si>
  <si>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</si>
  <si>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</si>
  <si>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</si>
  <si>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</si>
  <si>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</si>
  <si>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</si>
  <si>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</si>
  <si>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</si>
  <si>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</si>
  <si>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</si>
  <si>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</si>
  <si>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</si>
  <si>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</si>
  <si>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</si>
  <si>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</si>
  <si>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</si>
  <si>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</si>
  <si>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</si>
  <si>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</si>
  <si>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</si>
  <si>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</si>
  <si>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</si>
  <si>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</si>
  <si>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</si>
  <si>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</si>
  <si>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</si>
  <si>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</si>
  <si>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</si>
  <si>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</si>
  <si>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</si>
  <si>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</si>
  <si>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</si>
  <si>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</si>
  <si>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</si>
  <si>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</si>
  <si>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</si>
  <si>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</si>
  <si>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</si>
  <si>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</si>
  <si>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</si>
  <si>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</si>
  <si>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</si>
  <si>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</si>
  <si>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</si>
  <si>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</si>
  <si>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</si>
  <si>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</si>
  <si>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</si>
  <si>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</si>
  <si>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</si>
  <si>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</si>
  <si>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</si>
  <si>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</si>
  <si>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</si>
  <si>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</si>
  <si>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</si>
  <si>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</si>
  <si>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</si>
  <si>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</si>
  <si>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</si>
  <si>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</si>
  <si>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</si>
  <si>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</si>
  <si>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</si>
  <si>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</si>
  <si>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</si>
  <si>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</si>
  <si>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</si>
  <si>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</si>
  <si>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</si>
  <si>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</si>
  <si>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</si>
  <si>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</si>
  <si>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</si>
  <si>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</si>
  <si>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</si>
  <si>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</si>
  <si>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</si>
  <si>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</si>
  <si>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</si>
  <si>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</si>
  <si>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</si>
  <si>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</si>
  <si>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</si>
  <si>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</si>
  <si>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</si>
  <si>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</si>
  <si>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</si>
  <si>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</si>
  <si>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</si>
  <si>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</si>
  <si>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</si>
  <si>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</si>
  <si>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</si>
  <si>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</si>
  <si>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</si>
  <si>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</si>
  <si>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</si>
  <si>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</si>
  <si>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</si>
  <si>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</si>
  <si>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</si>
  <si>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</si>
  <si>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</si>
  <si>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</si>
  <si>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</si>
  <si>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</si>
  <si>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</si>
  <si>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</si>
  <si>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</si>
  <si>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</si>
  <si>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</si>
  <si>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</si>
  <si>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</si>
  <si>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</si>
  <si>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</si>
  <si>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</si>
  <si>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</si>
  <si>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</si>
  <si>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</si>
  <si>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</si>
  <si>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</si>
  <si>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</si>
  <si>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</si>
  <si>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</si>
  <si>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</si>
  <si>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</si>
  <si>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</si>
  <si>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</si>
  <si>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</si>
  <si>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</si>
  <si>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</si>
  <si>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</si>
  <si>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</si>
  <si>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</si>
  <si>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</si>
  <si>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</si>
  <si>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</si>
  <si>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</si>
  <si>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</si>
  <si>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</si>
  <si>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</si>
  <si>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</si>
  <si>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</si>
  <si>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</si>
  <si>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</si>
  <si>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</si>
  <si>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</si>
  <si>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</si>
  <si>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</si>
  <si>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</si>
  <si>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</si>
  <si>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</si>
  <si>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</si>
  <si>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</si>
  <si>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</si>
  <si>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</si>
  <si>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</si>
  <si>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</si>
  <si>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</si>
  <si>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</si>
  <si>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</si>
  <si>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</si>
  <si>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</si>
  <si>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</si>
  <si>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</si>
  <si>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</si>
  <si>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</si>
  <si>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</si>
  <si>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</si>
  <si>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</si>
  <si>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</si>
  <si>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</si>
  <si>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</si>
  <si>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</si>
  <si>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</si>
  <si>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</si>
  <si>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</si>
  <si>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</si>
  <si>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</si>
  <si>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</si>
  <si>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</si>
  <si>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</si>
  <si>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</si>
  <si>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</si>
  <si>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</si>
  <si>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</si>
  <si>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</si>
  <si>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</si>
  <si>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</si>
  <si>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</si>
  <si>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</si>
  <si>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</si>
  <si>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</si>
  <si>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</si>
  <si>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</si>
  <si>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</si>
  <si>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</si>
  <si>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</si>
  <si>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</si>
  <si>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</si>
  <si>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</si>
  <si>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</si>
  <si>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</si>
  <si>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</si>
  <si>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</si>
  <si>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</si>
  <si>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</si>
  <si>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</si>
  <si>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</si>
  <si>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</si>
  <si>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</si>
  <si>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</si>
  <si>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</si>
  <si>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</si>
  <si>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</si>
  <si>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</si>
  <si>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</si>
  <si>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</si>
  <si>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</si>
  <si>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</si>
  <si>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</si>
  <si>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</si>
  <si>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</si>
  <si>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</si>
  <si>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</si>
  <si>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</si>
  <si>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</si>
  <si>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</si>
  <si>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</si>
  <si>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</si>
  <si>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</si>
  <si>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</si>
  <si>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</si>
  <si>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</si>
  <si>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</si>
  <si>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</si>
  <si>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</si>
  <si>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</si>
  <si>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</si>
  <si>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</si>
  <si>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</si>
  <si>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</si>
  <si>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</si>
  <si>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</si>
  <si>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</si>
  <si>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</si>
  <si>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</si>
  <si>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</si>
  <si>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</si>
  <si>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</si>
  <si>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</si>
  <si>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</si>
  <si>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</si>
  <si>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</si>
  <si>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</si>
  <si>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</si>
  <si>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</si>
  <si>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</si>
  <si>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</si>
  <si>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</si>
  <si>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</si>
  <si>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</si>
  <si>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</si>
  <si>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</si>
  <si>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</si>
  <si>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</si>
  <si>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</si>
  <si>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</si>
  <si>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</si>
  <si>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</si>
  <si>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</si>
  <si>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</si>
  <si>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</si>
  <si>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</si>
  <si>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</si>
  <si>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</si>
  <si>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</si>
  <si>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</si>
  <si>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</si>
  <si>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</si>
  <si>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</si>
  <si>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</si>
  <si>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</si>
  <si>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</si>
  <si>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</si>
  <si>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</si>
  <si>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</si>
  <si>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</si>
  <si>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</si>
  <si>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</si>
  <si>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</si>
  <si>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</si>
  <si>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</si>
  <si>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</si>
  <si>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</si>
  <si>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</si>
  <si>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</si>
  <si>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</si>
  <si>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</si>
  <si>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</si>
  <si>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</si>
  <si>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</si>
  <si>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</si>
  <si>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</si>
  <si>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</si>
  <si>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</si>
  <si>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</si>
  <si>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</si>
  <si>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</si>
  <si>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</si>
  <si>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</si>
  <si>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</si>
  <si>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</si>
  <si>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</si>
  <si>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</si>
  <si>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</si>
  <si>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</si>
  <si>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</si>
  <si>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</si>
  <si>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</si>
  <si>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</si>
  <si>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</si>
  <si>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</si>
  <si>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</si>
  <si>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</si>
  <si>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</si>
  <si>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</si>
  <si>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</si>
  <si>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</si>
  <si>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</si>
  <si>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</si>
  <si>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</si>
  <si>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</si>
  <si>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IOARR: “OPTIMIZACION MEDIANTE COBERTURA DE LA LOSA DEPORTIVA MULTIUSO DE LA INSTITUCION ADUCATIVA SECUNDARIA "JOSE MARIA ARGUEDAS" CHUQUIBAMBILLA, DISTRITO - CHUQUIBAMBILLA, PROVINCIA - GRAU, DEPARTAMENTO – APURIMAC”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</si>
  <si>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CHUQUIBAMBILLA</t>
    </r>
  </si>
  <si>
    <t>"OPTIMIZACION MEDIANTE COBERTURA DE LA LOSA DEPORTIVA MULTIUSO DE LA INSTITUCION ADUCATIVA  SECUNDARIA "JOSE MARIA ARGUEDAS" CHUQUIBAMBILLA, DISTRITO -CHUQUIBAMBILLA,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</si>
</sst>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28</xdr:row>
      <xdr:rowOff>4233</xdr:rowOff>
    </xdr:from>
    <xdr:to>
      <xdr:col>5</xdr:col>
      <xdr:colOff>956733</xdr:colOff>
      <xdr:row>30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2"/>
  <sheetViews>
    <sheetView tabSelected="1" view="pageBreakPreview" topLeftCell="A5" zoomScaleNormal="100" zoomScaleSheetLayoutView="100" workbookViewId="0">
      <selection activeCell="G28" sqref="G28"/>
    </sheetView>
  </sheetViews>
  <sheetFormatPr baseColWidth="10" defaultColWidth="16.28515625" defaultRowHeight="12.75" x14ac:dyDescent="0.2"/>
  <cols>
    <col min="1" max="1" width="16.28515625" customWidth="1"/>
    <col min="2" max="2" width="8.28515625" customWidth="1"/>
    <col min="3" max="3" width="6.5703125" customWidth="1"/>
    <col min="4" max="4" width="30.5703125" customWidth="1"/>
    <col min="5" max="5" width="26" customWidth="1"/>
    <col min="6" max="6" width="19.7109375" customWidth="1"/>
    <col min="7" max="7" width="22.28515625" customWidth="1"/>
  </cols>
  <sheetData>
    <row r="1" spans="2:10" s="436" customFormat="1" x14ac:dyDescent="0.2"/>
    <row r="2" spans="2:10" s="436" customFormat="1" x14ac:dyDescent="0.2"/>
    <row r="3" spans="2:10" s="436" customFormat="1" ht="21" thickBot="1" x14ac:dyDescent="0.25">
      <c r="B3" s="452"/>
      <c r="C3" s="453"/>
      <c r="D3" s="453"/>
      <c r="E3" s="453"/>
      <c r="F3" s="453"/>
      <c r="G3" s="453"/>
      <c r="H3" s="362"/>
      <c r="I3" s="362"/>
    </row>
    <row r="4" spans="2:10" ht="109.5" customHeight="1" x14ac:dyDescent="0.25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 x14ac:dyDescent="0.2">
      <c r="B5" s="366"/>
      <c r="C5" s="367"/>
      <c r="D5" s="367"/>
      <c r="E5" s="367"/>
      <c r="F5" s="367"/>
      <c r="G5" s="368"/>
      <c r="H5" s="362"/>
      <c r="I5" s="363"/>
    </row>
    <row r="6" spans="2:10" ht="15.75" x14ac:dyDescent="0.25">
      <c r="B6" s="366"/>
      <c r="C6" s="369" t="s">
        <v>653</v>
      </c>
      <c r="D6" s="370"/>
      <c r="E6" s="370"/>
      <c r="F6" s="367"/>
      <c r="G6" s="371"/>
      <c r="H6" s="362"/>
    </row>
    <row r="7" spans="2:10" ht="18.75" x14ac:dyDescent="0.3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 ht="13.5" x14ac:dyDescent="0.25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75" x14ac:dyDescent="0.25">
      <c r="B9" s="366"/>
      <c r="C9" s="379" t="s">
        <v>374</v>
      </c>
      <c r="D9" s="375"/>
      <c r="E9" s="375"/>
      <c r="F9" s="380"/>
      <c r="G9" s="381">
        <v>249805.2</v>
      </c>
      <c r="H9" s="362">
        <v>410275.22</v>
      </c>
      <c r="I9" s="382"/>
    </row>
    <row r="10" spans="2:10" x14ac:dyDescent="0.2">
      <c r="B10" s="366"/>
      <c r="C10" s="367"/>
      <c r="D10" s="367"/>
      <c r="E10" s="367"/>
      <c r="F10" s="367"/>
      <c r="G10" s="368"/>
      <c r="I10" s="383"/>
    </row>
    <row r="11" spans="2:10" ht="23.25" x14ac:dyDescent="0.35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" x14ac:dyDescent="0.2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5" x14ac:dyDescent="0.25">
      <c r="B13" s="366"/>
      <c r="C13" s="389"/>
      <c r="D13" s="390"/>
      <c r="E13" s="390"/>
      <c r="F13" s="391"/>
      <c r="G13" s="392"/>
      <c r="H13" s="393"/>
      <c r="I13" s="385"/>
    </row>
    <row r="14" spans="2:10" x14ac:dyDescent="0.2">
      <c r="B14" s="366"/>
      <c r="C14" s="394" t="s">
        <v>376</v>
      </c>
      <c r="D14" s="379" t="s">
        <v>366</v>
      </c>
      <c r="E14" s="395"/>
      <c r="F14" s="391"/>
      <c r="G14" s="396">
        <f>G9</f>
        <v>249805.2</v>
      </c>
      <c r="H14" s="393"/>
      <c r="I14" s="397"/>
    </row>
    <row r="15" spans="2:10" x14ac:dyDescent="0.2">
      <c r="B15" s="366"/>
      <c r="C15" s="398" t="s">
        <v>377</v>
      </c>
      <c r="D15" s="399" t="s">
        <v>10</v>
      </c>
      <c r="E15" s="400"/>
      <c r="F15" s="401"/>
      <c r="G15" s="402">
        <f>G14</f>
        <v>249805.2</v>
      </c>
      <c r="H15" s="403"/>
      <c r="I15" s="404"/>
      <c r="J15" s="405"/>
    </row>
    <row r="16" spans="2:10" x14ac:dyDescent="0.2">
      <c r="B16" s="366"/>
      <c r="C16" s="398" t="s">
        <v>378</v>
      </c>
      <c r="D16" s="399" t="s">
        <v>43</v>
      </c>
      <c r="E16" s="400">
        <f>ROUND(J18,4)</f>
        <v>0.25230000000000002</v>
      </c>
      <c r="F16" s="401"/>
      <c r="G16" s="402">
        <f>G.General!G19</f>
        <v>63017.783333333326</v>
      </c>
      <c r="H16" s="403"/>
      <c r="I16" s="404"/>
      <c r="J16" s="405"/>
    </row>
    <row r="17" spans="2:10" x14ac:dyDescent="0.2">
      <c r="B17" s="366"/>
      <c r="C17" s="376" t="s">
        <v>379</v>
      </c>
      <c r="D17" s="406" t="s">
        <v>4</v>
      </c>
      <c r="E17" s="407"/>
      <c r="F17" s="391"/>
      <c r="G17" s="396">
        <f>SUM(G15:G16)</f>
        <v>312822.98333333334</v>
      </c>
      <c r="H17" s="403"/>
      <c r="I17" s="408"/>
    </row>
    <row r="18" spans="2:10" ht="15.75" x14ac:dyDescent="0.25">
      <c r="B18" s="366"/>
      <c r="C18" s="367"/>
      <c r="D18" s="409"/>
      <c r="E18" s="409"/>
      <c r="F18" s="410"/>
      <c r="G18" s="411"/>
      <c r="H18" s="362"/>
      <c r="I18" s="412"/>
      <c r="J18">
        <f>G16/G15</f>
        <v>0.25226770032542684</v>
      </c>
    </row>
    <row r="19" spans="2:10" ht="15.75" x14ac:dyDescent="0.25">
      <c r="B19" s="366"/>
      <c r="C19" s="413"/>
      <c r="D19" s="414" t="s">
        <v>651</v>
      </c>
      <c r="E19" s="414"/>
      <c r="F19" s="415"/>
      <c r="G19" s="416">
        <f>G17</f>
        <v>312822.98333333334</v>
      </c>
      <c r="H19" s="362"/>
    </row>
    <row r="20" spans="2:10" x14ac:dyDescent="0.2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x14ac:dyDescent="0.2">
      <c r="B21" s="366"/>
      <c r="C21" s="367"/>
      <c r="D21" s="399" t="s">
        <v>588</v>
      </c>
      <c r="E21" s="400">
        <f>G21/G24</f>
        <v>4.7105301028582576E-2</v>
      </c>
      <c r="F21" s="367"/>
      <c r="G21" s="402">
        <f>Gestión!G19</f>
        <v>15464.06</v>
      </c>
      <c r="H21" s="362"/>
      <c r="I21" s="363"/>
    </row>
    <row r="22" spans="2:10" x14ac:dyDescent="0.2">
      <c r="H22" s="362"/>
      <c r="I22" s="363"/>
      <c r="J22" s="435">
        <f>G27/G19</f>
        <v>7.9794328837411194E-2</v>
      </c>
    </row>
    <row r="23" spans="2:10" ht="6" customHeight="1" x14ac:dyDescent="0.2">
      <c r="B23" s="366"/>
      <c r="C23" s="367"/>
      <c r="D23" s="367"/>
      <c r="E23" s="367"/>
      <c r="F23" s="367"/>
      <c r="G23" s="417"/>
      <c r="H23" s="362"/>
      <c r="I23" s="363"/>
    </row>
    <row r="24" spans="2:10" ht="15.75" x14ac:dyDescent="0.25">
      <c r="B24" s="366"/>
      <c r="C24" s="413"/>
      <c r="D24" s="419" t="s">
        <v>650</v>
      </c>
      <c r="E24" s="419"/>
      <c r="F24" s="420"/>
      <c r="G24" s="421">
        <f>G19+G21</f>
        <v>328287.04333333333</v>
      </c>
      <c r="H24" s="362"/>
    </row>
    <row r="25" spans="2:10" x14ac:dyDescent="0.2">
      <c r="B25" s="366"/>
      <c r="C25" s="367"/>
      <c r="D25" s="367"/>
      <c r="E25" s="367"/>
      <c r="F25" s="367"/>
      <c r="G25" s="417" t="s">
        <v>1</v>
      </c>
      <c r="H25" s="362"/>
      <c r="I25" s="363"/>
    </row>
    <row r="26" spans="2:10" x14ac:dyDescent="0.2">
      <c r="B26" s="366"/>
      <c r="C26" s="367"/>
      <c r="D26" s="399" t="s">
        <v>367</v>
      </c>
      <c r="E26" s="400">
        <f>G26/G24</f>
        <v>3.0461147349779151E-2</v>
      </c>
      <c r="F26" s="367"/>
      <c r="G26" s="402">
        <v>10000</v>
      </c>
      <c r="H26" s="362"/>
      <c r="I26" s="363"/>
      <c r="J26" s="405"/>
    </row>
    <row r="27" spans="2:10" ht="13.5" thickBot="1" x14ac:dyDescent="0.25">
      <c r="B27" s="366"/>
      <c r="C27" s="367"/>
      <c r="D27" s="399" t="s">
        <v>380</v>
      </c>
      <c r="E27" s="400">
        <f>ROUND(J22,4)</f>
        <v>7.9799999999999996E-2</v>
      </c>
      <c r="F27" s="367"/>
      <c r="G27" s="418">
        <f>Supervision!G158</f>
        <v>24961.5</v>
      </c>
      <c r="H27" s="362"/>
      <c r="I27" s="363"/>
      <c r="J27" s="405"/>
    </row>
    <row r="28" spans="2:10" ht="14.25" thickTop="1" thickBot="1" x14ac:dyDescent="0.25">
      <c r="B28" s="366"/>
      <c r="C28" s="367"/>
      <c r="D28" s="399" t="s">
        <v>138</v>
      </c>
      <c r="E28" s="400">
        <f>G28/G24</f>
        <v>5.2669608353819383E-2</v>
      </c>
      <c r="F28" s="367"/>
      <c r="G28" s="434">
        <f>Liquidacion!G19</f>
        <v>17290.75</v>
      </c>
      <c r="H28" s="362"/>
      <c r="I28" s="363"/>
      <c r="J28" s="405"/>
    </row>
    <row r="29" spans="2:10" x14ac:dyDescent="0.2">
      <c r="B29" s="366"/>
      <c r="C29" s="367"/>
      <c r="D29" s="367"/>
      <c r="E29" s="367"/>
      <c r="F29" s="367"/>
      <c r="G29" s="417"/>
      <c r="H29" s="362"/>
      <c r="I29" s="363"/>
    </row>
    <row r="30" spans="2:10" ht="18.75" x14ac:dyDescent="0.3">
      <c r="B30" s="366"/>
      <c r="C30" s="413"/>
      <c r="D30" s="419" t="s">
        <v>381</v>
      </c>
      <c r="E30" s="419"/>
      <c r="F30" s="420"/>
      <c r="G30" s="422">
        <f>G24+G26+G27+G28</f>
        <v>380539.29333333333</v>
      </c>
      <c r="H30" s="362"/>
      <c r="J30" s="423"/>
    </row>
    <row r="31" spans="2:10" ht="12.75" customHeight="1" thickBot="1" x14ac:dyDescent="0.25">
      <c r="B31" s="424"/>
      <c r="C31" s="425"/>
      <c r="D31" s="425"/>
      <c r="E31" s="425"/>
      <c r="F31" s="425"/>
      <c r="G31" s="426"/>
      <c r="H31" s="362"/>
      <c r="I31" s="363"/>
      <c r="J31" s="423"/>
    </row>
    <row r="32" spans="2:10" ht="12.75" customHeight="1" x14ac:dyDescent="0.2">
      <c r="B32" s="443" t="str">
        <f>CONCATENATE("SON : ",letra(G30)," NUEVOS SOLES")</f>
        <v>SON : TRESCIENTOS OCHENTA MIL QUINIENTOS TREINTA Y NUEVE CON 29/100 NUEVOS SOLES</v>
      </c>
      <c r="C32" s="444"/>
      <c r="D32" s="444"/>
      <c r="E32" s="444"/>
      <c r="F32" s="444"/>
      <c r="G32" s="445"/>
      <c r="H32" s="362"/>
      <c r="I32" s="363"/>
    </row>
    <row r="33" spans="1:9" ht="12.75" customHeight="1" x14ac:dyDescent="0.2">
      <c r="B33" s="446"/>
      <c r="C33" s="447"/>
      <c r="D33" s="447"/>
      <c r="E33" s="447"/>
      <c r="F33" s="447"/>
      <c r="G33" s="448"/>
      <c r="H33" s="362"/>
      <c r="I33" s="363"/>
    </row>
    <row r="34" spans="1:9" ht="13.5" customHeight="1" thickBot="1" x14ac:dyDescent="0.25">
      <c r="B34" s="449"/>
      <c r="C34" s="450"/>
      <c r="D34" s="450"/>
      <c r="E34" s="450"/>
      <c r="F34" s="450"/>
      <c r="G34" s="451"/>
      <c r="H34" s="362"/>
      <c r="I34" s="363"/>
    </row>
    <row r="35" spans="1:9" x14ac:dyDescent="0.2">
      <c r="B35" s="427"/>
      <c r="C35" s="427"/>
      <c r="D35" s="427"/>
      <c r="E35" s="427"/>
      <c r="F35" s="427"/>
      <c r="G35" s="427"/>
      <c r="H35" s="362"/>
      <c r="I35" s="363"/>
    </row>
    <row r="36" spans="1:9" x14ac:dyDescent="0.2">
      <c r="A36" s="363"/>
      <c r="B36" s="427"/>
      <c r="C36" s="428"/>
      <c r="D36" s="427"/>
      <c r="E36" s="427"/>
      <c r="F36" s="427"/>
      <c r="G36" s="427"/>
    </row>
    <row r="37" spans="1:9" x14ac:dyDescent="0.2">
      <c r="B37" s="427"/>
      <c r="C37" s="428"/>
      <c r="D37" s="427"/>
      <c r="E37" s="427"/>
      <c r="F37" s="427"/>
      <c r="G37" s="427"/>
    </row>
    <row r="38" spans="1:9" x14ac:dyDescent="0.2">
      <c r="C38" s="428"/>
    </row>
    <row r="39" spans="1:9" x14ac:dyDescent="0.2">
      <c r="C39" s="428"/>
      <c r="D39" s="362"/>
    </row>
    <row r="40" spans="1:9" x14ac:dyDescent="0.2">
      <c r="D40" s="362"/>
    </row>
    <row r="42" spans="1:9" x14ac:dyDescent="0.2">
      <c r="G42" s="405"/>
    </row>
  </sheetData>
  <mergeCells count="4">
    <mergeCell ref="B4:G4"/>
    <mergeCell ref="C11:G11"/>
    <mergeCell ref="B32:G34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703125" defaultRowHeight="12.75" x14ac:dyDescent="0.2"/>
  <cols>
    <col min="1" max="1" width="12.85546875" style="17" customWidth="1"/>
    <col min="2" max="2" width="60.7109375" style="17" customWidth="1"/>
    <col min="3" max="3" width="17.5703125" style="17" customWidth="1"/>
    <col min="4" max="4" width="14.5703125" style="17" customWidth="1"/>
    <col min="5" max="5" width="18.28515625" style="17" customWidth="1"/>
    <col min="6" max="6" width="26.140625" style="17" hidden="1" customWidth="1"/>
    <col min="7" max="7" width="18" style="17" customWidth="1"/>
    <col min="8" max="8" width="17.7109375" style="17" customWidth="1"/>
    <col min="9" max="9" width="14.5703125" style="17" customWidth="1"/>
    <col min="10" max="10" width="14.5703125" style="17" hidden="1" customWidth="1"/>
    <col min="11" max="11" width="16.42578125" style="17" customWidth="1"/>
    <col min="12" max="16384" width="12.5703125" style="17"/>
  </cols>
  <sheetData>
    <row r="1" spans="1:11" ht="20.25" customHeight="1" x14ac:dyDescent="0.2"/>
    <row r="2" spans="1:11" ht="20.25" customHeight="1" x14ac:dyDescent="0.2"/>
    <row r="3" spans="1:11" ht="11.25" customHeight="1" x14ac:dyDescent="0.2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 x14ac:dyDescent="0.2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 x14ac:dyDescent="0.2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 x14ac:dyDescent="0.2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 x14ac:dyDescent="0.2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 x14ac:dyDescent="0.2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5" x14ac:dyDescent="0.2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5" x14ac:dyDescent="0.2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5" x14ac:dyDescent="0.2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5" x14ac:dyDescent="0.2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 x14ac:dyDescent="0.2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5.75" thickBot="1" x14ac:dyDescent="0.25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45" x14ac:dyDescent="0.2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 x14ac:dyDescent="0.2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 x14ac:dyDescent="0.2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 x14ac:dyDescent="0.2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 x14ac:dyDescent="0.2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+RESUMEN!#REF!+RESUMEN!#REF!+RESUMEN!#REF!+RESUMEN!G26+RESUMEN!G21+RESUMEN!G28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 x14ac:dyDescent="0.2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.75" thickBot="1" x14ac:dyDescent="0.25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.75" hidden="1" thickBot="1" x14ac:dyDescent="0.25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4.25" x14ac:dyDescent="0.2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4.25" x14ac:dyDescent="0.2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 x14ac:dyDescent="0.2">
      <c r="I25" s="326"/>
      <c r="J25" s="322"/>
    </row>
    <row r="30" spans="1:12" x14ac:dyDescent="0.2">
      <c r="C30" s="339"/>
    </row>
    <row r="31" spans="1:12" x14ac:dyDescent="0.2">
      <c r="K31" s="339"/>
      <c r="L31" s="339"/>
    </row>
    <row r="32" spans="1:12" x14ac:dyDescent="0.2">
      <c r="K32" s="339"/>
      <c r="L32" s="339"/>
    </row>
    <row r="33" spans="11:11" x14ac:dyDescent="0.2">
      <c r="K33" s="339"/>
    </row>
    <row r="34" spans="11:11" x14ac:dyDescent="0.2">
      <c r="K34" s="339"/>
    </row>
    <row r="35" spans="11:11" x14ac:dyDescent="0.2">
      <c r="K35" s="339"/>
    </row>
    <row r="36" spans="11:11" x14ac:dyDescent="0.2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2578125" defaultRowHeight="12.75" x14ac:dyDescent="0.2"/>
  <cols>
    <col min="1" max="1" width="3.7109375" style="25" customWidth="1"/>
    <col min="2" max="2" width="50.7109375" style="25" customWidth="1"/>
    <col min="3" max="3" width="17" style="179" customWidth="1"/>
    <col min="4" max="4" width="16.85546875" style="25" customWidth="1"/>
    <col min="5" max="5" width="15.7109375" style="25" customWidth="1"/>
    <col min="6" max="6" width="14.7109375" style="25" customWidth="1"/>
    <col min="7" max="7" width="16" style="25" customWidth="1"/>
    <col min="8" max="8" width="11.5703125" style="25" customWidth="1"/>
    <col min="9" max="16384" width="11.42578125" style="25"/>
  </cols>
  <sheetData>
    <row r="1" spans="1:8" ht="21" customHeight="1" x14ac:dyDescent="0.2">
      <c r="H1" s="179"/>
    </row>
    <row r="2" spans="1:8" ht="21" customHeight="1" x14ac:dyDescent="0.2">
      <c r="H2" s="179"/>
    </row>
    <row r="3" spans="1:8" ht="27" customHeight="1" x14ac:dyDescent="0.2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 x14ac:dyDescent="0.2">
      <c r="A4" s="26"/>
      <c r="B4" s="27"/>
      <c r="C4" s="176"/>
      <c r="D4" s="27"/>
      <c r="E4" s="27"/>
      <c r="F4" s="27"/>
      <c r="G4" s="27"/>
      <c r="H4" s="179"/>
    </row>
    <row r="5" spans="1:8" ht="18" customHeight="1" x14ac:dyDescent="0.2">
      <c r="A5" s="28"/>
      <c r="B5" s="296"/>
      <c r="C5" s="297"/>
      <c r="D5" s="27"/>
      <c r="E5" s="27"/>
      <c r="F5" s="27"/>
      <c r="H5" s="179"/>
    </row>
    <row r="6" spans="1:8" ht="18" customHeight="1" x14ac:dyDescent="0.2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 x14ac:dyDescent="0.2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 x14ac:dyDescent="0.2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 x14ac:dyDescent="0.2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 x14ac:dyDescent="0.2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 x14ac:dyDescent="0.2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 x14ac:dyDescent="0.2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 x14ac:dyDescent="0.2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 x14ac:dyDescent="0.25">
      <c r="A14" s="28"/>
      <c r="B14" s="296"/>
      <c r="C14" s="176"/>
      <c r="H14" s="179"/>
    </row>
    <row r="15" spans="1:8" s="18" customFormat="1" ht="35.25" customHeight="1" thickBot="1" x14ac:dyDescent="0.25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 x14ac:dyDescent="0.2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 x14ac:dyDescent="0.2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 x14ac:dyDescent="0.2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 x14ac:dyDescent="0.25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 x14ac:dyDescent="0.25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 x14ac:dyDescent="0.2">
      <c r="A21" s="28"/>
      <c r="B21" s="296"/>
      <c r="C21" s="176"/>
      <c r="G21" s="25">
        <v>2219685.83</v>
      </c>
      <c r="H21" s="351"/>
    </row>
    <row r="22" spans="1:10" ht="18" customHeight="1" x14ac:dyDescent="0.2">
      <c r="A22" s="28"/>
      <c r="B22" s="296"/>
      <c r="C22" s="176"/>
      <c r="H22" s="351"/>
    </row>
    <row r="23" spans="1:10" ht="18" customHeight="1" x14ac:dyDescent="0.2">
      <c r="A23" s="28"/>
      <c r="B23" s="296"/>
      <c r="C23" s="176"/>
      <c r="H23" s="351"/>
    </row>
    <row r="24" spans="1:10" ht="18" customHeight="1" x14ac:dyDescent="0.2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 x14ac:dyDescent="0.2">
      <c r="A25" s="35"/>
      <c r="B25" s="35"/>
      <c r="C25" s="177"/>
      <c r="D25" s="28"/>
      <c r="E25" s="28"/>
      <c r="H25" s="351"/>
    </row>
    <row r="26" spans="1:10" ht="27" customHeight="1" x14ac:dyDescent="0.3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 x14ac:dyDescent="0.2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 x14ac:dyDescent="0.2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 x14ac:dyDescent="0.2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 x14ac:dyDescent="0.2">
      <c r="A30" s="37"/>
      <c r="B30" s="37"/>
      <c r="C30" s="56"/>
      <c r="D30" s="37"/>
      <c r="E30" s="37"/>
      <c r="F30" s="38"/>
      <c r="H30" s="350"/>
    </row>
    <row r="31" spans="1:10" ht="18" customHeight="1" x14ac:dyDescent="0.2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 x14ac:dyDescent="0.2">
      <c r="A32" s="40"/>
      <c r="B32" s="41"/>
      <c r="C32" s="56"/>
      <c r="D32" s="37"/>
      <c r="E32" s="37"/>
      <c r="F32" s="37"/>
      <c r="G32" s="37"/>
      <c r="H32" s="350"/>
    </row>
    <row r="33" spans="1:8" ht="12.75" customHeight="1" x14ac:dyDescent="0.2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 x14ac:dyDescent="0.2">
      <c r="A34" s="44"/>
      <c r="B34" s="36"/>
      <c r="C34" s="56"/>
      <c r="D34" s="37"/>
      <c r="E34" s="37"/>
      <c r="F34" s="37"/>
      <c r="G34" s="37"/>
      <c r="H34" s="350"/>
    </row>
    <row r="35" spans="1:8" ht="12.75" customHeight="1" x14ac:dyDescent="0.2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 x14ac:dyDescent="0.2">
      <c r="A36" s="26"/>
      <c r="B36" s="43"/>
      <c r="C36" s="177"/>
      <c r="D36" s="36"/>
      <c r="E36" s="36"/>
      <c r="F36" s="36"/>
      <c r="G36" s="37"/>
      <c r="H36" s="350"/>
    </row>
    <row r="37" spans="1:8" ht="12.75" customHeight="1" x14ac:dyDescent="0.2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 x14ac:dyDescent="0.2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 x14ac:dyDescent="0.2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 x14ac:dyDescent="0.2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 x14ac:dyDescent="0.2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 x14ac:dyDescent="0.2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 x14ac:dyDescent="0.2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 x14ac:dyDescent="0.2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 x14ac:dyDescent="0.2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 x14ac:dyDescent="0.2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 x14ac:dyDescent="0.2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 x14ac:dyDescent="0.2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 x14ac:dyDescent="0.2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 x14ac:dyDescent="0.2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 x14ac:dyDescent="0.2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 x14ac:dyDescent="0.2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 x14ac:dyDescent="0.2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 x14ac:dyDescent="0.2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 x14ac:dyDescent="0.2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 x14ac:dyDescent="0.2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 x14ac:dyDescent="0.2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 x14ac:dyDescent="0.2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 x14ac:dyDescent="0.2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 x14ac:dyDescent="0.2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 x14ac:dyDescent="0.2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 x14ac:dyDescent="0.2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 x14ac:dyDescent="0.2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 x14ac:dyDescent="0.2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 x14ac:dyDescent="0.2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 x14ac:dyDescent="0.2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 x14ac:dyDescent="0.2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 x14ac:dyDescent="0.2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 x14ac:dyDescent="0.2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 x14ac:dyDescent="0.2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 x14ac:dyDescent="0.2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 x14ac:dyDescent="0.2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 x14ac:dyDescent="0.2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 x14ac:dyDescent="0.2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 x14ac:dyDescent="0.2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 x14ac:dyDescent="0.2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 x14ac:dyDescent="0.2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 x14ac:dyDescent="0.2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 x14ac:dyDescent="0.2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 x14ac:dyDescent="0.2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 x14ac:dyDescent="0.2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 x14ac:dyDescent="0.2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 x14ac:dyDescent="0.2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 x14ac:dyDescent="0.2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 x14ac:dyDescent="0.2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 x14ac:dyDescent="0.2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 x14ac:dyDescent="0.2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 x14ac:dyDescent="0.2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 x14ac:dyDescent="0.2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 x14ac:dyDescent="0.2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 x14ac:dyDescent="0.2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 x14ac:dyDescent="0.2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 x14ac:dyDescent="0.2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 x14ac:dyDescent="0.2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 x14ac:dyDescent="0.2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 x14ac:dyDescent="0.2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 x14ac:dyDescent="0.2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 x14ac:dyDescent="0.2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 x14ac:dyDescent="0.2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 x14ac:dyDescent="0.2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 x14ac:dyDescent="0.2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 x14ac:dyDescent="0.2">
      <c r="B102" s="43"/>
      <c r="C102" s="56"/>
      <c r="D102" s="37"/>
      <c r="E102" s="37"/>
      <c r="F102" s="37"/>
      <c r="G102" s="37"/>
      <c r="H102" s="350"/>
    </row>
    <row r="103" spans="1:8" ht="13.5" hidden="1" customHeight="1" x14ac:dyDescent="0.2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 x14ac:dyDescent="0.2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 x14ac:dyDescent="0.2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 x14ac:dyDescent="0.2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 x14ac:dyDescent="0.2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 x14ac:dyDescent="0.2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 x14ac:dyDescent="0.2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 x14ac:dyDescent="0.2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 x14ac:dyDescent="0.2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 x14ac:dyDescent="0.2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 x14ac:dyDescent="0.2">
      <c r="B113" s="43" t="s">
        <v>52</v>
      </c>
      <c r="C113" s="56"/>
      <c r="D113" s="37"/>
      <c r="E113" s="37"/>
      <c r="F113" s="37"/>
      <c r="H113" s="350"/>
    </row>
    <row r="114" spans="1:8" ht="13.5" hidden="1" customHeight="1" x14ac:dyDescent="0.2">
      <c r="B114" s="43"/>
      <c r="C114" s="56"/>
      <c r="D114" s="37"/>
      <c r="E114" s="37"/>
      <c r="F114" s="37"/>
      <c r="G114" s="37"/>
      <c r="H114" s="350"/>
    </row>
    <row r="115" spans="1:8" ht="13.5" hidden="1" customHeight="1" x14ac:dyDescent="0.2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 x14ac:dyDescent="0.2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 x14ac:dyDescent="0.2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 x14ac:dyDescent="0.2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 x14ac:dyDescent="0.2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 x14ac:dyDescent="0.2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 x14ac:dyDescent="0.2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 x14ac:dyDescent="0.2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 x14ac:dyDescent="0.2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 x14ac:dyDescent="0.2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 x14ac:dyDescent="0.2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 x14ac:dyDescent="0.2">
      <c r="B126" s="43"/>
      <c r="C126" s="177"/>
      <c r="D126" s="36"/>
      <c r="E126" s="36"/>
      <c r="F126" s="36"/>
      <c r="G126" s="37"/>
      <c r="H126" s="350"/>
    </row>
    <row r="127" spans="1:8" ht="13.5" hidden="1" customHeight="1" x14ac:dyDescent="0.2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 x14ac:dyDescent="0.2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 x14ac:dyDescent="0.2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 x14ac:dyDescent="0.2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 x14ac:dyDescent="0.2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 x14ac:dyDescent="0.2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 x14ac:dyDescent="0.2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 x14ac:dyDescent="0.2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 x14ac:dyDescent="0.2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 x14ac:dyDescent="0.2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 x14ac:dyDescent="0.2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 x14ac:dyDescent="0.2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 x14ac:dyDescent="0.2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 x14ac:dyDescent="0.2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 x14ac:dyDescent="0.2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 x14ac:dyDescent="0.2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 x14ac:dyDescent="0.2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 x14ac:dyDescent="0.2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 x14ac:dyDescent="0.2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 x14ac:dyDescent="0.2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 x14ac:dyDescent="0.2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 x14ac:dyDescent="0.2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 x14ac:dyDescent="0.2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 x14ac:dyDescent="0.2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 x14ac:dyDescent="0.2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 x14ac:dyDescent="0.2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 x14ac:dyDescent="0.2">
      <c r="B153" s="57"/>
      <c r="C153" s="50"/>
      <c r="D153" s="38"/>
      <c r="E153" s="38"/>
      <c r="F153" s="38"/>
      <c r="H153" s="350"/>
    </row>
    <row r="154" spans="1:8" ht="13.5" hidden="1" customHeight="1" x14ac:dyDescent="0.2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 x14ac:dyDescent="0.2">
      <c r="B155" s="49"/>
      <c r="C155" s="50"/>
      <c r="D155" s="38"/>
      <c r="E155" s="51"/>
      <c r="F155" s="58"/>
      <c r="H155" s="350"/>
    </row>
    <row r="156" spans="1:8" ht="14.85" customHeight="1" x14ac:dyDescent="0.2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 x14ac:dyDescent="0.2">
      <c r="A157" s="51"/>
      <c r="B157" s="49"/>
      <c r="C157" s="50"/>
      <c r="D157" s="50"/>
      <c r="E157" s="50"/>
      <c r="F157" s="38"/>
      <c r="H157" s="350"/>
    </row>
    <row r="158" spans="1:8" ht="14.85" customHeight="1" x14ac:dyDescent="0.2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 x14ac:dyDescent="0.2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 x14ac:dyDescent="0.2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 x14ac:dyDescent="0.2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 x14ac:dyDescent="0.2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 x14ac:dyDescent="0.2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 x14ac:dyDescent="0.2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 x14ac:dyDescent="0.2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 x14ac:dyDescent="0.2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 x14ac:dyDescent="0.2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 x14ac:dyDescent="0.2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 x14ac:dyDescent="0.2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 x14ac:dyDescent="0.2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 x14ac:dyDescent="0.2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 x14ac:dyDescent="0.2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 x14ac:dyDescent="0.2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 x14ac:dyDescent="0.2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 x14ac:dyDescent="0.2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 x14ac:dyDescent="0.2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 x14ac:dyDescent="0.2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 x14ac:dyDescent="0.2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 x14ac:dyDescent="0.2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 x14ac:dyDescent="0.2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 x14ac:dyDescent="0.2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 x14ac:dyDescent="0.2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 x14ac:dyDescent="0.2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 x14ac:dyDescent="0.2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 x14ac:dyDescent="0.2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 x14ac:dyDescent="0.2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 x14ac:dyDescent="0.2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 x14ac:dyDescent="0.2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 x14ac:dyDescent="0.2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 x14ac:dyDescent="0.2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 x14ac:dyDescent="0.2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 x14ac:dyDescent="0.2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 x14ac:dyDescent="0.2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 x14ac:dyDescent="0.2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 x14ac:dyDescent="0.2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 x14ac:dyDescent="0.2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 x14ac:dyDescent="0.2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 x14ac:dyDescent="0.2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 x14ac:dyDescent="0.2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 x14ac:dyDescent="0.2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 x14ac:dyDescent="0.2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 x14ac:dyDescent="0.2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 x14ac:dyDescent="0.2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 x14ac:dyDescent="0.2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 x14ac:dyDescent="0.2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 x14ac:dyDescent="0.2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 x14ac:dyDescent="0.2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 x14ac:dyDescent="0.2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 x14ac:dyDescent="0.2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 x14ac:dyDescent="0.2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 x14ac:dyDescent="0.2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 x14ac:dyDescent="0.2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 x14ac:dyDescent="0.2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 x14ac:dyDescent="0.2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 x14ac:dyDescent="0.2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 x14ac:dyDescent="0.2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 x14ac:dyDescent="0.2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 x14ac:dyDescent="0.2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 x14ac:dyDescent="0.2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 x14ac:dyDescent="0.2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 x14ac:dyDescent="0.2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 x14ac:dyDescent="0.2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 x14ac:dyDescent="0.2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 x14ac:dyDescent="0.2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 x14ac:dyDescent="0.2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 x14ac:dyDescent="0.2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 x14ac:dyDescent="0.2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 x14ac:dyDescent="0.2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 x14ac:dyDescent="0.2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 x14ac:dyDescent="0.2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 x14ac:dyDescent="0.2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 x14ac:dyDescent="0.2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 x14ac:dyDescent="0.2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 x14ac:dyDescent="0.2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 x14ac:dyDescent="0.2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 x14ac:dyDescent="0.2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 x14ac:dyDescent="0.2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 x14ac:dyDescent="0.2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 x14ac:dyDescent="0.2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 x14ac:dyDescent="0.2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 x14ac:dyDescent="0.2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 x14ac:dyDescent="0.2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 x14ac:dyDescent="0.2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 x14ac:dyDescent="0.2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 x14ac:dyDescent="0.2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 x14ac:dyDescent="0.2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 x14ac:dyDescent="0.2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 x14ac:dyDescent="0.2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 x14ac:dyDescent="0.2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 x14ac:dyDescent="0.2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 x14ac:dyDescent="0.2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 x14ac:dyDescent="0.2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 x14ac:dyDescent="0.2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 x14ac:dyDescent="0.2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 x14ac:dyDescent="0.2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 x14ac:dyDescent="0.2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 x14ac:dyDescent="0.2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 x14ac:dyDescent="0.2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 x14ac:dyDescent="0.2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 x14ac:dyDescent="0.2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 x14ac:dyDescent="0.2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 x14ac:dyDescent="0.2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 x14ac:dyDescent="0.2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 x14ac:dyDescent="0.2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 x14ac:dyDescent="0.2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 x14ac:dyDescent="0.2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 x14ac:dyDescent="0.2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 x14ac:dyDescent="0.2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 x14ac:dyDescent="0.2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 x14ac:dyDescent="0.2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 x14ac:dyDescent="0.2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 x14ac:dyDescent="0.2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 x14ac:dyDescent="0.2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 x14ac:dyDescent="0.2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 x14ac:dyDescent="0.2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 x14ac:dyDescent="0.2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 x14ac:dyDescent="0.2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 x14ac:dyDescent="0.2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 x14ac:dyDescent="0.2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 x14ac:dyDescent="0.2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 x14ac:dyDescent="0.2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 x14ac:dyDescent="0.2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 x14ac:dyDescent="0.2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 x14ac:dyDescent="0.2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 x14ac:dyDescent="0.2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 x14ac:dyDescent="0.2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 x14ac:dyDescent="0.2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 x14ac:dyDescent="0.2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 x14ac:dyDescent="0.2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 x14ac:dyDescent="0.2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 x14ac:dyDescent="0.2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 x14ac:dyDescent="0.2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 x14ac:dyDescent="0.2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 x14ac:dyDescent="0.2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 x14ac:dyDescent="0.2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 x14ac:dyDescent="0.2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 x14ac:dyDescent="0.2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 x14ac:dyDescent="0.2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 x14ac:dyDescent="0.2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 x14ac:dyDescent="0.2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 x14ac:dyDescent="0.2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 x14ac:dyDescent="0.2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 x14ac:dyDescent="0.2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 x14ac:dyDescent="0.2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 x14ac:dyDescent="0.2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 x14ac:dyDescent="0.2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 x14ac:dyDescent="0.2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 x14ac:dyDescent="0.2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 x14ac:dyDescent="0.2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 x14ac:dyDescent="0.2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 x14ac:dyDescent="0.2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 x14ac:dyDescent="0.2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 x14ac:dyDescent="0.2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 x14ac:dyDescent="0.2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 x14ac:dyDescent="0.2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 x14ac:dyDescent="0.2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 x14ac:dyDescent="0.2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 x14ac:dyDescent="0.2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 x14ac:dyDescent="0.2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 x14ac:dyDescent="0.2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 x14ac:dyDescent="0.2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 x14ac:dyDescent="0.2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 x14ac:dyDescent="0.2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 x14ac:dyDescent="0.2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 x14ac:dyDescent="0.2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 x14ac:dyDescent="0.2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 x14ac:dyDescent="0.2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 x14ac:dyDescent="0.2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 x14ac:dyDescent="0.2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 x14ac:dyDescent="0.2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 x14ac:dyDescent="0.2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 x14ac:dyDescent="0.2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 x14ac:dyDescent="0.2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 x14ac:dyDescent="0.2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 x14ac:dyDescent="0.2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 x14ac:dyDescent="0.2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 x14ac:dyDescent="0.2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 x14ac:dyDescent="0.2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 x14ac:dyDescent="0.2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 x14ac:dyDescent="0.2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 x14ac:dyDescent="0.2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 x14ac:dyDescent="0.2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 x14ac:dyDescent="0.2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 x14ac:dyDescent="0.2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 x14ac:dyDescent="0.2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 x14ac:dyDescent="0.2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 x14ac:dyDescent="0.2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 x14ac:dyDescent="0.2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 x14ac:dyDescent="0.2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 x14ac:dyDescent="0.2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 x14ac:dyDescent="0.2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 x14ac:dyDescent="0.2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 x14ac:dyDescent="0.2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 x14ac:dyDescent="0.2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 x14ac:dyDescent="0.2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 x14ac:dyDescent="0.2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 x14ac:dyDescent="0.2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 x14ac:dyDescent="0.2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 x14ac:dyDescent="0.2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 x14ac:dyDescent="0.2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 x14ac:dyDescent="0.2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 x14ac:dyDescent="0.2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 x14ac:dyDescent="0.2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 x14ac:dyDescent="0.2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 x14ac:dyDescent="0.2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 x14ac:dyDescent="0.2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 x14ac:dyDescent="0.2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 x14ac:dyDescent="0.2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 x14ac:dyDescent="0.2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 x14ac:dyDescent="0.2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 x14ac:dyDescent="0.2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 x14ac:dyDescent="0.2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 x14ac:dyDescent="0.2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 x14ac:dyDescent="0.2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 x14ac:dyDescent="0.2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 x14ac:dyDescent="0.2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 x14ac:dyDescent="0.2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 x14ac:dyDescent="0.2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 x14ac:dyDescent="0.2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 x14ac:dyDescent="0.2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 x14ac:dyDescent="0.2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 x14ac:dyDescent="0.2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 x14ac:dyDescent="0.2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 x14ac:dyDescent="0.2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 x14ac:dyDescent="0.2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 x14ac:dyDescent="0.2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 x14ac:dyDescent="0.2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 x14ac:dyDescent="0.2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 x14ac:dyDescent="0.2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 x14ac:dyDescent="0.2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 x14ac:dyDescent="0.2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 x14ac:dyDescent="0.2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 x14ac:dyDescent="0.2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 x14ac:dyDescent="0.2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 x14ac:dyDescent="0.2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 x14ac:dyDescent="0.2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 x14ac:dyDescent="0.2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 x14ac:dyDescent="0.2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 x14ac:dyDescent="0.2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 x14ac:dyDescent="0.2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 x14ac:dyDescent="0.2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 x14ac:dyDescent="0.2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 x14ac:dyDescent="0.2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 x14ac:dyDescent="0.2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 x14ac:dyDescent="0.2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 x14ac:dyDescent="0.2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 x14ac:dyDescent="0.2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 x14ac:dyDescent="0.2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 x14ac:dyDescent="0.2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 x14ac:dyDescent="0.2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 x14ac:dyDescent="0.2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 x14ac:dyDescent="0.2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 x14ac:dyDescent="0.2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 x14ac:dyDescent="0.2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 x14ac:dyDescent="0.2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 x14ac:dyDescent="0.2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 x14ac:dyDescent="0.2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 x14ac:dyDescent="0.2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 x14ac:dyDescent="0.2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 x14ac:dyDescent="0.2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 x14ac:dyDescent="0.2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 x14ac:dyDescent="0.2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 x14ac:dyDescent="0.2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 x14ac:dyDescent="0.2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 x14ac:dyDescent="0.2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 x14ac:dyDescent="0.2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 x14ac:dyDescent="0.2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 x14ac:dyDescent="0.2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 x14ac:dyDescent="0.2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 x14ac:dyDescent="0.2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 x14ac:dyDescent="0.2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 x14ac:dyDescent="0.2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 x14ac:dyDescent="0.2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 x14ac:dyDescent="0.2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 x14ac:dyDescent="0.2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 x14ac:dyDescent="0.2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 x14ac:dyDescent="0.2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 x14ac:dyDescent="0.2">
      <c r="A438" s="38"/>
      <c r="B438" s="49"/>
      <c r="C438" s="50"/>
      <c r="D438" s="38"/>
      <c r="E438" s="38"/>
      <c r="F438" s="38"/>
      <c r="H438" s="357"/>
    </row>
    <row r="439" spans="1:8" ht="14.85" customHeight="1" x14ac:dyDescent="0.2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 x14ac:dyDescent="0.2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 x14ac:dyDescent="0.2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 x14ac:dyDescent="0.2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 x14ac:dyDescent="0.2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 x14ac:dyDescent="0.2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 x14ac:dyDescent="0.2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 x14ac:dyDescent="0.2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 x14ac:dyDescent="0.2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 x14ac:dyDescent="0.2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 x14ac:dyDescent="0.2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 x14ac:dyDescent="0.2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 x14ac:dyDescent="0.2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 x14ac:dyDescent="0.2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 x14ac:dyDescent="0.2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 x14ac:dyDescent="0.2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 x14ac:dyDescent="0.2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 x14ac:dyDescent="0.2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 x14ac:dyDescent="0.2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 x14ac:dyDescent="0.2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 x14ac:dyDescent="0.2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 x14ac:dyDescent="0.2">
      <c r="A460" s="38"/>
      <c r="B460" s="62"/>
      <c r="C460" s="62"/>
      <c r="D460" s="62"/>
      <c r="E460" s="62"/>
      <c r="F460" s="37"/>
      <c r="H460" s="357"/>
    </row>
    <row r="461" spans="1:8" ht="14.85" customHeight="1" x14ac:dyDescent="0.2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 x14ac:dyDescent="0.2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 x14ac:dyDescent="0.2">
      <c r="A463" s="38"/>
      <c r="B463" s="49"/>
      <c r="C463" s="50"/>
      <c r="D463" s="38"/>
      <c r="E463" s="38"/>
      <c r="F463" s="38"/>
      <c r="H463" s="357"/>
    </row>
    <row r="464" spans="1:8" ht="14.85" customHeight="1" x14ac:dyDescent="0.2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 x14ac:dyDescent="0.2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 x14ac:dyDescent="0.2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 x14ac:dyDescent="0.2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 x14ac:dyDescent="0.2">
      <c r="A468" s="38"/>
      <c r="B468" s="62"/>
      <c r="C468" s="62"/>
      <c r="D468" s="62"/>
      <c r="E468" s="62"/>
      <c r="F468" s="37"/>
      <c r="H468" s="357"/>
    </row>
    <row r="469" spans="1:8" ht="14.85" customHeight="1" x14ac:dyDescent="0.2">
      <c r="A469" s="38"/>
      <c r="H469" s="357"/>
    </row>
    <row r="470" spans="1:8" ht="14.85" customHeight="1" x14ac:dyDescent="0.2">
      <c r="A470" s="38"/>
      <c r="H470" s="357"/>
    </row>
    <row r="471" spans="1:8" ht="14.85" customHeight="1" x14ac:dyDescent="0.2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 x14ac:dyDescent="0.2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 x14ac:dyDescent="0.2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 x14ac:dyDescent="0.2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 x14ac:dyDescent="0.2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 x14ac:dyDescent="0.2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 x14ac:dyDescent="0.2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 x14ac:dyDescent="0.2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 x14ac:dyDescent="0.2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 x14ac:dyDescent="0.2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 x14ac:dyDescent="0.2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 x14ac:dyDescent="0.2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 x14ac:dyDescent="0.2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 x14ac:dyDescent="0.2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 x14ac:dyDescent="0.2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 x14ac:dyDescent="0.2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 x14ac:dyDescent="0.2">
      <c r="H487" s="311"/>
    </row>
    <row r="488" spans="1:8" ht="14.25" customHeight="1" x14ac:dyDescent="0.2">
      <c r="G488" s="32"/>
      <c r="H488" s="311"/>
    </row>
    <row r="489" spans="1:8" ht="14.25" customHeight="1" x14ac:dyDescent="0.2">
      <c r="G489" s="32"/>
      <c r="H489" s="311"/>
    </row>
    <row r="490" spans="1:8" ht="18" customHeight="1" x14ac:dyDescent="0.2">
      <c r="G490" s="32"/>
      <c r="H490" s="311"/>
    </row>
    <row r="491" spans="1:8" x14ac:dyDescent="0.2">
      <c r="H491" s="311"/>
    </row>
    <row r="492" spans="1:8" x14ac:dyDescent="0.2">
      <c r="H492" s="311"/>
    </row>
    <row r="493" spans="1:8" x14ac:dyDescent="0.2">
      <c r="H493" s="311"/>
    </row>
    <row r="494" spans="1:8" x14ac:dyDescent="0.2">
      <c r="H494" s="311"/>
    </row>
    <row r="495" spans="1:8" x14ac:dyDescent="0.2">
      <c r="H495" s="311"/>
    </row>
    <row r="496" spans="1:8" x14ac:dyDescent="0.2">
      <c r="H496" s="311"/>
    </row>
    <row r="497" spans="8:8" x14ac:dyDescent="0.2">
      <c r="H497" s="311"/>
    </row>
    <row r="498" spans="8:8" x14ac:dyDescent="0.2">
      <c r="H498" s="311"/>
    </row>
    <row r="499" spans="8:8" x14ac:dyDescent="0.2">
      <c r="H499" s="311"/>
    </row>
    <row r="500" spans="8:8" x14ac:dyDescent="0.2">
      <c r="H500" s="311"/>
    </row>
    <row r="501" spans="8:8" x14ac:dyDescent="0.2">
      <c r="H501" s="311"/>
    </row>
    <row r="502" spans="8:8" x14ac:dyDescent="0.2">
      <c r="H502" s="311"/>
    </row>
    <row r="503" spans="8:8" x14ac:dyDescent="0.2">
      <c r="H503" s="311"/>
    </row>
    <row r="504" spans="8:8" x14ac:dyDescent="0.2">
      <c r="H504" s="311"/>
    </row>
    <row r="505" spans="8:8" x14ac:dyDescent="0.2">
      <c r="H505" s="311"/>
    </row>
    <row r="506" spans="8:8" x14ac:dyDescent="0.2">
      <c r="H506" s="311"/>
    </row>
    <row r="507" spans="8:8" x14ac:dyDescent="0.2">
      <c r="H507" s="311"/>
    </row>
    <row r="508" spans="8:8" x14ac:dyDescent="0.2">
      <c r="H508" s="311"/>
    </row>
    <row r="509" spans="8:8" x14ac:dyDescent="0.2">
      <c r="H509" s="311"/>
    </row>
    <row r="510" spans="8:8" x14ac:dyDescent="0.2">
      <c r="H510" s="311"/>
    </row>
    <row r="511" spans="8:8" x14ac:dyDescent="0.2">
      <c r="H511" s="311"/>
    </row>
    <row r="512" spans="8:8" x14ac:dyDescent="0.2">
      <c r="H512" s="311"/>
    </row>
    <row r="513" spans="8:8" x14ac:dyDescent="0.2">
      <c r="H513" s="311"/>
    </row>
    <row r="514" spans="8:8" x14ac:dyDescent="0.2">
      <c r="H514" s="311"/>
    </row>
    <row r="515" spans="8:8" x14ac:dyDescent="0.2">
      <c r="H515" s="311"/>
    </row>
    <row r="516" spans="8:8" x14ac:dyDescent="0.2">
      <c r="H516" s="311"/>
    </row>
    <row r="517" spans="8:8" x14ac:dyDescent="0.2">
      <c r="H517" s="311"/>
    </row>
    <row r="518" spans="8:8" x14ac:dyDescent="0.2">
      <c r="H518" s="311"/>
    </row>
    <row r="519" spans="8:8" x14ac:dyDescent="0.2">
      <c r="H519" s="311"/>
    </row>
    <row r="520" spans="8:8" x14ac:dyDescent="0.2">
      <c r="H520" s="311"/>
    </row>
    <row r="521" spans="8:8" x14ac:dyDescent="0.2">
      <c r="H521" s="311"/>
    </row>
    <row r="522" spans="8:8" x14ac:dyDescent="0.2">
      <c r="H522" s="311"/>
    </row>
    <row r="523" spans="8:8" x14ac:dyDescent="0.2">
      <c r="H523" s="311"/>
    </row>
    <row r="524" spans="8:8" x14ac:dyDescent="0.2">
      <c r="H524" s="311"/>
    </row>
    <row r="525" spans="8:8" x14ac:dyDescent="0.2">
      <c r="H525" s="311"/>
    </row>
    <row r="526" spans="8:8" x14ac:dyDescent="0.2">
      <c r="H526" s="311"/>
    </row>
    <row r="527" spans="8:8" x14ac:dyDescent="0.2">
      <c r="H527" s="311"/>
    </row>
    <row r="528" spans="8:8" x14ac:dyDescent="0.2">
      <c r="H528" s="311"/>
    </row>
    <row r="529" spans="8:8" x14ac:dyDescent="0.2">
      <c r="H529" s="311"/>
    </row>
    <row r="530" spans="8:8" x14ac:dyDescent="0.2">
      <c r="H530" s="311"/>
    </row>
    <row r="531" spans="8:8" x14ac:dyDescent="0.2">
      <c r="H531" s="311"/>
    </row>
    <row r="532" spans="8:8" x14ac:dyDescent="0.2">
      <c r="H532" s="311"/>
    </row>
    <row r="533" spans="8:8" x14ac:dyDescent="0.2">
      <c r="H533" s="311"/>
    </row>
    <row r="534" spans="8:8" x14ac:dyDescent="0.2">
      <c r="H534" s="311"/>
    </row>
    <row r="535" spans="8:8" x14ac:dyDescent="0.2">
      <c r="H535" s="311"/>
    </row>
    <row r="536" spans="8:8" x14ac:dyDescent="0.2">
      <c r="H536" s="311"/>
    </row>
    <row r="537" spans="8:8" x14ac:dyDescent="0.2">
      <c r="H537" s="311"/>
    </row>
    <row r="538" spans="8:8" x14ac:dyDescent="0.2">
      <c r="H538" s="311"/>
    </row>
    <row r="539" spans="8:8" x14ac:dyDescent="0.2">
      <c r="H539" s="311"/>
    </row>
    <row r="540" spans="8:8" x14ac:dyDescent="0.2">
      <c r="H540" s="311"/>
    </row>
    <row r="541" spans="8:8" x14ac:dyDescent="0.2">
      <c r="H541" s="311"/>
    </row>
    <row r="542" spans="8:8" x14ac:dyDescent="0.2">
      <c r="H542" s="311"/>
    </row>
    <row r="543" spans="8:8" x14ac:dyDescent="0.2">
      <c r="H543" s="311"/>
    </row>
    <row r="544" spans="8:8" x14ac:dyDescent="0.2">
      <c r="H544" s="311"/>
    </row>
    <row r="545" spans="8:8" x14ac:dyDescent="0.2">
      <c r="H545" s="311"/>
    </row>
    <row r="546" spans="8:8" x14ac:dyDescent="0.2">
      <c r="H546" s="311"/>
    </row>
    <row r="547" spans="8:8" x14ac:dyDescent="0.2">
      <c r="H547" s="311"/>
    </row>
    <row r="548" spans="8:8" x14ac:dyDescent="0.2">
      <c r="H548" s="311"/>
    </row>
    <row r="549" spans="8:8" x14ac:dyDescent="0.2">
      <c r="H549" s="311"/>
    </row>
    <row r="550" spans="8:8" x14ac:dyDescent="0.2">
      <c r="H550" s="311"/>
    </row>
    <row r="551" spans="8:8" x14ac:dyDescent="0.2">
      <c r="H551" s="311"/>
    </row>
    <row r="552" spans="8:8" x14ac:dyDescent="0.2">
      <c r="H552" s="311"/>
    </row>
    <row r="553" spans="8:8" x14ac:dyDescent="0.2">
      <c r="H553" s="311"/>
    </row>
    <row r="554" spans="8:8" x14ac:dyDescent="0.2">
      <c r="H554" s="311"/>
    </row>
    <row r="555" spans="8:8" x14ac:dyDescent="0.2">
      <c r="H555" s="311"/>
    </row>
    <row r="556" spans="8:8" x14ac:dyDescent="0.2">
      <c r="H556" s="311"/>
    </row>
    <row r="557" spans="8:8" x14ac:dyDescent="0.2">
      <c r="H557" s="311"/>
    </row>
    <row r="558" spans="8:8" x14ac:dyDescent="0.2">
      <c r="H558" s="311"/>
    </row>
    <row r="559" spans="8:8" x14ac:dyDescent="0.2">
      <c r="H559" s="311"/>
    </row>
    <row r="560" spans="8:8" x14ac:dyDescent="0.2">
      <c r="H560" s="311"/>
    </row>
    <row r="561" spans="8:8" x14ac:dyDescent="0.2">
      <c r="H561" s="311"/>
    </row>
    <row r="562" spans="8:8" x14ac:dyDescent="0.2">
      <c r="H562" s="311"/>
    </row>
    <row r="563" spans="8:8" x14ac:dyDescent="0.2">
      <c r="H563" s="311"/>
    </row>
    <row r="564" spans="8:8" x14ac:dyDescent="0.2">
      <c r="H564" s="311"/>
    </row>
    <row r="565" spans="8:8" x14ac:dyDescent="0.2">
      <c r="H565" s="311"/>
    </row>
    <row r="566" spans="8:8" x14ac:dyDescent="0.2">
      <c r="H566" s="311"/>
    </row>
    <row r="567" spans="8:8" x14ac:dyDescent="0.2">
      <c r="H567" s="311"/>
    </row>
    <row r="568" spans="8:8" x14ac:dyDescent="0.2">
      <c r="H568" s="311"/>
    </row>
    <row r="569" spans="8:8" x14ac:dyDescent="0.2">
      <c r="H569" s="311"/>
    </row>
    <row r="570" spans="8:8" x14ac:dyDescent="0.2">
      <c r="H570" s="311"/>
    </row>
    <row r="571" spans="8:8" x14ac:dyDescent="0.2">
      <c r="H571" s="311"/>
    </row>
    <row r="572" spans="8:8" x14ac:dyDescent="0.2">
      <c r="H572" s="311"/>
    </row>
    <row r="573" spans="8:8" x14ac:dyDescent="0.2">
      <c r="H573" s="311"/>
    </row>
    <row r="574" spans="8:8" x14ac:dyDescent="0.2">
      <c r="H574" s="311"/>
    </row>
    <row r="575" spans="8:8" x14ac:dyDescent="0.2">
      <c r="H575" s="311"/>
    </row>
    <row r="576" spans="8:8" x14ac:dyDescent="0.2">
      <c r="H576" s="311"/>
    </row>
    <row r="577" spans="8:8" x14ac:dyDescent="0.2">
      <c r="H577" s="311"/>
    </row>
    <row r="578" spans="8:8" x14ac:dyDescent="0.2">
      <c r="H578" s="311"/>
    </row>
    <row r="579" spans="8:8" x14ac:dyDescent="0.2">
      <c r="H579" s="311"/>
    </row>
    <row r="580" spans="8:8" x14ac:dyDescent="0.2">
      <c r="H580" s="311"/>
    </row>
    <row r="581" spans="8:8" x14ac:dyDescent="0.2">
      <c r="H581" s="311"/>
    </row>
    <row r="582" spans="8:8" x14ac:dyDescent="0.2">
      <c r="H582" s="311"/>
    </row>
    <row r="583" spans="8:8" x14ac:dyDescent="0.2">
      <c r="H583" s="311"/>
    </row>
    <row r="584" spans="8:8" x14ac:dyDescent="0.2">
      <c r="H584" s="311"/>
    </row>
    <row r="585" spans="8:8" x14ac:dyDescent="0.2">
      <c r="H585" s="311"/>
    </row>
    <row r="586" spans="8:8" x14ac:dyDescent="0.2">
      <c r="H586" s="311"/>
    </row>
    <row r="587" spans="8:8" x14ac:dyDescent="0.2">
      <c r="H587" s="311"/>
    </row>
    <row r="588" spans="8:8" x14ac:dyDescent="0.2">
      <c r="H588" s="311"/>
    </row>
    <row r="589" spans="8:8" x14ac:dyDescent="0.2">
      <c r="H589" s="311"/>
    </row>
    <row r="590" spans="8:8" x14ac:dyDescent="0.2">
      <c r="H590" s="311"/>
    </row>
    <row r="591" spans="8:8" x14ac:dyDescent="0.2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F126" sqref="F126"/>
    </sheetView>
  </sheetViews>
  <sheetFormatPr baseColWidth="10" defaultColWidth="11.42578125" defaultRowHeight="12.75" x14ac:dyDescent="0.2"/>
  <cols>
    <col min="1" max="1" width="6" style="67" customWidth="1"/>
    <col min="2" max="2" width="46.28515625" style="70" customWidth="1"/>
    <col min="3" max="3" width="15.140625" style="70" customWidth="1"/>
    <col min="4" max="4" width="13.85546875" style="73" customWidth="1"/>
    <col min="5" max="5" width="12.5703125" style="73" customWidth="1"/>
    <col min="6" max="6" width="20.85546875" style="70" customWidth="1"/>
    <col min="7" max="7" width="16" style="70" customWidth="1"/>
    <col min="8" max="8" width="5.140625" style="63" customWidth="1"/>
    <col min="9" max="16384" width="11.42578125" style="63"/>
  </cols>
  <sheetData>
    <row r="1" spans="1:7" ht="21" customHeight="1" x14ac:dyDescent="0.2"/>
    <row r="2" spans="1:7" ht="21" customHeight="1" x14ac:dyDescent="0.2"/>
    <row r="3" spans="1:7" ht="27" customHeight="1" x14ac:dyDescent="0.2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 x14ac:dyDescent="0.2">
      <c r="A4" s="64"/>
      <c r="B4" s="65"/>
      <c r="C4" s="65"/>
      <c r="D4" s="66"/>
      <c r="E4" s="66"/>
      <c r="F4" s="65"/>
      <c r="G4" s="65"/>
    </row>
    <row r="5" spans="1:7" ht="18" customHeight="1" x14ac:dyDescent="0.2">
      <c r="B5" s="68"/>
      <c r="C5" s="69"/>
      <c r="D5" s="66"/>
      <c r="E5" s="66"/>
      <c r="F5" s="65"/>
    </row>
    <row r="6" spans="1:7" ht="18" customHeight="1" x14ac:dyDescent="0.2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 x14ac:dyDescent="0.2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 x14ac:dyDescent="0.2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 x14ac:dyDescent="0.2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 x14ac:dyDescent="0.2">
      <c r="B10" s="29" t="s">
        <v>111</v>
      </c>
      <c r="C10" s="485" t="s">
        <v>654</v>
      </c>
      <c r="D10" s="464"/>
      <c r="E10" s="464"/>
      <c r="F10" s="464"/>
      <c r="G10" s="464"/>
    </row>
    <row r="11" spans="1:7" ht="18" customHeight="1" x14ac:dyDescent="0.2">
      <c r="B11" s="29"/>
      <c r="C11" s="464"/>
      <c r="D11" s="464"/>
      <c r="E11" s="464"/>
      <c r="F11" s="464"/>
      <c r="G11" s="464"/>
    </row>
    <row r="12" spans="1:7" ht="18" customHeight="1" x14ac:dyDescent="0.2">
      <c r="B12" s="29"/>
      <c r="C12" s="33"/>
      <c r="D12" s="33"/>
      <c r="E12" s="33"/>
      <c r="F12" s="33"/>
      <c r="G12" s="33"/>
    </row>
    <row r="13" spans="1:7" ht="18" customHeight="1" thickBot="1" x14ac:dyDescent="0.25">
      <c r="B13" s="29"/>
      <c r="C13" s="255"/>
      <c r="D13" s="255"/>
      <c r="E13" s="255"/>
      <c r="F13" s="255"/>
      <c r="G13" s="255"/>
    </row>
    <row r="14" spans="1:7" s="182" customFormat="1" ht="20.25" customHeight="1" thickBot="1" x14ac:dyDescent="0.25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 x14ac:dyDescent="0.2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 x14ac:dyDescent="0.2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 x14ac:dyDescent="0.2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 x14ac:dyDescent="0.2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 x14ac:dyDescent="0.25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 x14ac:dyDescent="0.2">
      <c r="B20" s="29"/>
      <c r="C20" s="71"/>
      <c r="D20" s="72"/>
    </row>
    <row r="21" spans="1:11" ht="18" customHeight="1" x14ac:dyDescent="0.2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 x14ac:dyDescent="0.2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 x14ac:dyDescent="0.2">
      <c r="A23" s="77"/>
      <c r="B23" s="77"/>
      <c r="C23" s="78"/>
      <c r="D23" s="79"/>
      <c r="E23" s="79"/>
      <c r="F23" s="80"/>
    </row>
    <row r="24" spans="1:11" ht="27" customHeight="1" x14ac:dyDescent="0.2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 x14ac:dyDescent="0.2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 x14ac:dyDescent="0.2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 x14ac:dyDescent="0.2">
      <c r="A27" s="64"/>
      <c r="B27" s="64"/>
      <c r="C27" s="82"/>
      <c r="D27" s="81"/>
      <c r="E27" s="81"/>
      <c r="F27" s="64"/>
      <c r="G27" s="64"/>
    </row>
    <row r="28" spans="1:11" s="182" customFormat="1" ht="17.25" x14ac:dyDescent="0.3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7.25" x14ac:dyDescent="0.3">
      <c r="A29" s="226"/>
      <c r="C29" s="212"/>
      <c r="D29" s="212"/>
      <c r="E29" s="213"/>
      <c r="F29" s="213"/>
      <c r="G29" s="214"/>
      <c r="H29" s="222"/>
    </row>
    <row r="30" spans="1:11" ht="16.5" customHeight="1" x14ac:dyDescent="0.2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 x14ac:dyDescent="0.2">
      <c r="A31" s="89"/>
      <c r="B31" s="90"/>
      <c r="C31" s="85"/>
      <c r="D31" s="86"/>
      <c r="E31" s="86"/>
      <c r="F31" s="85"/>
      <c r="G31" s="85"/>
    </row>
    <row r="32" spans="1:11" ht="12.75" customHeight="1" x14ac:dyDescent="0.2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 x14ac:dyDescent="0.2">
      <c r="A33" s="93"/>
      <c r="B33" s="78"/>
      <c r="C33" s="85"/>
      <c r="D33" s="86"/>
      <c r="E33" s="86"/>
      <c r="F33" s="85"/>
      <c r="G33" s="85"/>
    </row>
    <row r="34" spans="1:9" ht="12.75" customHeight="1" x14ac:dyDescent="0.2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 x14ac:dyDescent="0.2">
      <c r="A35" s="64"/>
      <c r="B35" s="92"/>
      <c r="C35" s="78"/>
      <c r="D35" s="94"/>
      <c r="E35" s="94"/>
      <c r="F35" s="78"/>
      <c r="G35" s="85"/>
    </row>
    <row r="36" spans="1:9" ht="12.75" customHeight="1" x14ac:dyDescent="0.2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 x14ac:dyDescent="0.2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 x14ac:dyDescent="0.2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 x14ac:dyDescent="0.2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 x14ac:dyDescent="0.2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 x14ac:dyDescent="0.2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 x14ac:dyDescent="0.2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 x14ac:dyDescent="0.2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 x14ac:dyDescent="0.2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 x14ac:dyDescent="0.2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 x14ac:dyDescent="0.2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 x14ac:dyDescent="0.2">
      <c r="A47" s="64"/>
      <c r="B47" s="85"/>
      <c r="C47" s="85"/>
      <c r="D47" s="86"/>
      <c r="E47" s="86"/>
      <c r="F47" s="85"/>
      <c r="G47" s="85"/>
    </row>
    <row r="48" spans="1:9" ht="12.75" customHeight="1" x14ac:dyDescent="0.2">
      <c r="A48" s="89"/>
      <c r="B48" s="90"/>
      <c r="C48" s="85"/>
      <c r="D48" s="86"/>
      <c r="E48" s="86"/>
      <c r="F48" s="85"/>
      <c r="G48" s="85"/>
    </row>
    <row r="49" spans="1:7" s="18" customFormat="1" ht="12.75" customHeight="1" x14ac:dyDescent="0.2">
      <c r="A49" s="26"/>
      <c r="B49" s="37"/>
      <c r="C49" s="37"/>
      <c r="D49" s="56"/>
      <c r="E49" s="56"/>
      <c r="F49" s="37"/>
      <c r="G49" s="37"/>
    </row>
    <row r="50" spans="1:7" s="18" customFormat="1" ht="12.75" customHeight="1" x14ac:dyDescent="0.2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 x14ac:dyDescent="0.2">
      <c r="A51" s="89"/>
      <c r="B51" s="90"/>
      <c r="C51" s="85"/>
      <c r="D51" s="86"/>
      <c r="E51" s="86"/>
      <c r="F51" s="85"/>
      <c r="G51" s="85"/>
    </row>
    <row r="52" spans="1:7" s="18" customFormat="1" ht="17.25" x14ac:dyDescent="0.2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 x14ac:dyDescent="0.2">
      <c r="A53" s="91"/>
      <c r="B53" s="92"/>
      <c r="C53" s="85"/>
      <c r="D53" s="86"/>
      <c r="E53" s="86"/>
      <c r="F53" s="85"/>
      <c r="G53" s="85"/>
    </row>
    <row r="54" spans="1:7" s="18" customFormat="1" x14ac:dyDescent="0.2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 x14ac:dyDescent="0.2">
      <c r="A55" s="93"/>
      <c r="B55" s="92"/>
      <c r="C55" s="78"/>
      <c r="D55" s="94"/>
      <c r="E55" s="94"/>
      <c r="F55" s="85"/>
      <c r="G55" s="85"/>
    </row>
    <row r="56" spans="1:7" s="18" customFormat="1" x14ac:dyDescent="0.2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 x14ac:dyDescent="0.2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 x14ac:dyDescent="0.2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 x14ac:dyDescent="0.2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 x14ac:dyDescent="0.2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 x14ac:dyDescent="0.2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 x14ac:dyDescent="0.2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 x14ac:dyDescent="0.2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 x14ac:dyDescent="0.2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 x14ac:dyDescent="0.2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 x14ac:dyDescent="0.2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 x14ac:dyDescent="0.2">
      <c r="A67" s="64"/>
      <c r="B67" s="101"/>
      <c r="C67" s="101"/>
      <c r="D67" s="86"/>
      <c r="E67" s="86"/>
      <c r="F67" s="85"/>
      <c r="G67" s="85"/>
    </row>
    <row r="68" spans="1:7" ht="12.75" customHeight="1" x14ac:dyDescent="0.2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 x14ac:dyDescent="0.2">
      <c r="A69" s="91"/>
      <c r="B69" s="92"/>
      <c r="C69" s="85"/>
      <c r="D69" s="86"/>
      <c r="E69" s="86"/>
      <c r="F69" s="85"/>
      <c r="G69" s="85"/>
    </row>
    <row r="70" spans="1:7" ht="12.75" customHeight="1" x14ac:dyDescent="0.2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 x14ac:dyDescent="0.2">
      <c r="A71" s="64"/>
      <c r="B71" s="92"/>
      <c r="C71" s="78"/>
      <c r="D71" s="94"/>
      <c r="E71" s="94"/>
      <c r="F71" s="85"/>
      <c r="G71" s="85"/>
    </row>
    <row r="72" spans="1:7" ht="12.75" customHeight="1" x14ac:dyDescent="0.2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 x14ac:dyDescent="0.2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 x14ac:dyDescent="0.2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 x14ac:dyDescent="0.2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 x14ac:dyDescent="0.2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 x14ac:dyDescent="0.2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 x14ac:dyDescent="0.2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 x14ac:dyDescent="0.2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 x14ac:dyDescent="0.2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 x14ac:dyDescent="0.2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 x14ac:dyDescent="0.2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 x14ac:dyDescent="0.2">
      <c r="A83" s="64"/>
      <c r="B83" s="118"/>
      <c r="C83" s="118"/>
      <c r="D83" s="118"/>
      <c r="E83" s="118"/>
      <c r="F83" s="85"/>
      <c r="G83" s="85"/>
    </row>
    <row r="84" spans="1:7" ht="15" customHeight="1" x14ac:dyDescent="0.2">
      <c r="A84" s="64"/>
      <c r="B84" s="85"/>
      <c r="C84" s="85"/>
      <c r="D84" s="86"/>
      <c r="E84" s="86"/>
      <c r="F84" s="85"/>
      <c r="G84" s="85"/>
    </row>
    <row r="85" spans="1:7" ht="14.25" customHeight="1" x14ac:dyDescent="0.2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 x14ac:dyDescent="0.2">
      <c r="A86" s="83"/>
      <c r="B86" s="84"/>
      <c r="C86" s="85"/>
      <c r="D86" s="78"/>
      <c r="E86" s="16"/>
      <c r="F86" s="87"/>
      <c r="G86" s="88"/>
    </row>
    <row r="87" spans="1:7" ht="15" customHeight="1" x14ac:dyDescent="0.2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 x14ac:dyDescent="0.2">
      <c r="A88" s="91"/>
      <c r="B88" s="92"/>
      <c r="C88" s="85"/>
      <c r="D88" s="86"/>
      <c r="E88" s="86"/>
      <c r="F88" s="85"/>
      <c r="G88" s="85"/>
    </row>
    <row r="89" spans="1:7" ht="14.25" customHeight="1" x14ac:dyDescent="0.2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 x14ac:dyDescent="0.2">
      <c r="A90" s="64"/>
      <c r="B90" s="106"/>
      <c r="C90" s="78"/>
      <c r="D90" s="94"/>
      <c r="E90" s="94"/>
      <c r="F90" s="78"/>
      <c r="G90" s="86"/>
    </row>
    <row r="91" spans="1:7" ht="12.75" customHeight="1" x14ac:dyDescent="0.2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 x14ac:dyDescent="0.2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 x14ac:dyDescent="0.2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 x14ac:dyDescent="0.2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 x14ac:dyDescent="0.2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 x14ac:dyDescent="0.2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 x14ac:dyDescent="0.2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 x14ac:dyDescent="0.2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 x14ac:dyDescent="0.2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 x14ac:dyDescent="0.2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 x14ac:dyDescent="0.2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 x14ac:dyDescent="0.2">
      <c r="A102" s="64"/>
      <c r="B102" s="85"/>
      <c r="C102" s="85"/>
      <c r="D102" s="86"/>
      <c r="E102" s="86"/>
      <c r="F102" s="85"/>
      <c r="G102" s="85"/>
    </row>
    <row r="103" spans="1:7" ht="15" customHeight="1" x14ac:dyDescent="0.2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 x14ac:dyDescent="0.2">
      <c r="A104" s="91"/>
      <c r="B104" s="92"/>
      <c r="C104" s="85"/>
      <c r="D104" s="86"/>
      <c r="E104" s="86"/>
      <c r="F104" s="85"/>
      <c r="G104" s="85"/>
    </row>
    <row r="105" spans="1:7" ht="14.25" customHeight="1" x14ac:dyDescent="0.2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 x14ac:dyDescent="0.2">
      <c r="A106" s="64"/>
      <c r="B106" s="106"/>
      <c r="C106" s="78"/>
      <c r="D106" s="94"/>
      <c r="E106" s="94"/>
      <c r="F106" s="78"/>
      <c r="G106" s="86"/>
    </row>
    <row r="107" spans="1:7" ht="12.75" customHeight="1" x14ac:dyDescent="0.2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 x14ac:dyDescent="0.2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 x14ac:dyDescent="0.2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 x14ac:dyDescent="0.2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 x14ac:dyDescent="0.2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 x14ac:dyDescent="0.2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 x14ac:dyDescent="0.2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 x14ac:dyDescent="0.2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 x14ac:dyDescent="0.2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 x14ac:dyDescent="0.2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 x14ac:dyDescent="0.2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 x14ac:dyDescent="0.2">
      <c r="A118" s="64"/>
      <c r="B118" s="85"/>
      <c r="C118" s="85"/>
      <c r="D118" s="86"/>
      <c r="E118" s="86"/>
      <c r="F118" s="85"/>
      <c r="G118" s="85"/>
    </row>
    <row r="119" spans="1:7" ht="14.25" customHeight="1" x14ac:dyDescent="0.2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 x14ac:dyDescent="0.2">
      <c r="A120" s="83"/>
      <c r="B120" s="39"/>
      <c r="C120" s="85"/>
      <c r="D120" s="78"/>
      <c r="E120" s="16"/>
      <c r="F120" s="87"/>
      <c r="G120" s="88"/>
    </row>
    <row r="121" spans="1:7" ht="15" customHeight="1" x14ac:dyDescent="0.2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 x14ac:dyDescent="0.2">
      <c r="A122" s="91"/>
      <c r="B122" s="92"/>
      <c r="C122" s="85"/>
      <c r="D122" s="86"/>
      <c r="E122" s="86"/>
      <c r="F122" s="85"/>
      <c r="G122" s="85"/>
    </row>
    <row r="123" spans="1:7" ht="14.25" customHeight="1" x14ac:dyDescent="0.2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 x14ac:dyDescent="0.2">
      <c r="A124" s="64"/>
      <c r="B124" s="106"/>
      <c r="C124" s="78"/>
      <c r="D124" s="94"/>
      <c r="E124" s="94"/>
      <c r="F124" s="78"/>
      <c r="G124" s="86"/>
    </row>
    <row r="125" spans="1:7" ht="12.75" customHeight="1" x14ac:dyDescent="0.2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 x14ac:dyDescent="0.2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 x14ac:dyDescent="0.2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 x14ac:dyDescent="0.2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 x14ac:dyDescent="0.2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 x14ac:dyDescent="0.2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 x14ac:dyDescent="0.2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 x14ac:dyDescent="0.2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 x14ac:dyDescent="0.2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 x14ac:dyDescent="0.2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 x14ac:dyDescent="0.2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 x14ac:dyDescent="0.2">
      <c r="A136" s="64"/>
      <c r="B136" s="85"/>
      <c r="C136" s="85"/>
      <c r="D136" s="86"/>
      <c r="E136" s="86"/>
      <c r="F136" s="85"/>
      <c r="G136" s="85"/>
    </row>
    <row r="137" spans="1:8" ht="15" customHeight="1" x14ac:dyDescent="0.2">
      <c r="A137" s="64"/>
      <c r="B137" s="85"/>
      <c r="C137" s="85"/>
      <c r="D137" s="86"/>
      <c r="E137" s="86"/>
      <c r="F137" s="85"/>
      <c r="G137" s="85"/>
    </row>
    <row r="138" spans="1:8" s="182" customFormat="1" ht="17.25" x14ac:dyDescent="0.3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7.25" x14ac:dyDescent="0.3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 x14ac:dyDescent="0.2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 x14ac:dyDescent="0.2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 x14ac:dyDescent="0.2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 x14ac:dyDescent="0.2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 x14ac:dyDescent="0.2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 x14ac:dyDescent="0.2">
      <c r="A145" s="64"/>
      <c r="B145" s="114"/>
      <c r="C145" s="100"/>
      <c r="D145" s="104"/>
      <c r="E145" s="104"/>
      <c r="F145" s="10"/>
      <c r="G145" s="103"/>
    </row>
    <row r="146" spans="1:7" ht="12.75" customHeight="1" x14ac:dyDescent="0.2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 x14ac:dyDescent="0.2">
      <c r="A147" s="93"/>
      <c r="B147" s="118"/>
      <c r="C147" s="118"/>
      <c r="D147" s="118"/>
      <c r="E147" s="118"/>
      <c r="F147" s="85"/>
      <c r="G147" s="78"/>
    </row>
    <row r="148" spans="1:7" ht="12.75" customHeight="1" x14ac:dyDescent="0.2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 x14ac:dyDescent="0.2">
      <c r="A149" s="83"/>
      <c r="B149" s="84"/>
      <c r="C149" s="85"/>
      <c r="D149" s="86"/>
      <c r="E149" s="16"/>
      <c r="F149" s="87"/>
      <c r="G149" s="88"/>
    </row>
    <row r="150" spans="1:7" ht="12.75" customHeight="1" x14ac:dyDescent="0.2">
      <c r="A150" s="91"/>
      <c r="B150" s="92"/>
      <c r="C150" s="85"/>
      <c r="D150" s="86"/>
      <c r="E150" s="86"/>
      <c r="F150" s="85"/>
      <c r="G150" s="78"/>
    </row>
    <row r="151" spans="1:7" ht="12.75" customHeight="1" x14ac:dyDescent="0.2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 x14ac:dyDescent="0.2">
      <c r="A152" s="91"/>
      <c r="B152" s="92"/>
      <c r="C152" s="85"/>
      <c r="D152" s="86"/>
      <c r="E152" s="86"/>
      <c r="F152" s="85"/>
      <c r="G152" s="78"/>
    </row>
    <row r="153" spans="1:7" ht="12.75" customHeight="1" x14ac:dyDescent="0.2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 x14ac:dyDescent="0.2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 x14ac:dyDescent="0.2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 x14ac:dyDescent="0.2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 x14ac:dyDescent="0.2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 x14ac:dyDescent="0.2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 x14ac:dyDescent="0.2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 x14ac:dyDescent="0.2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 x14ac:dyDescent="0.2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 x14ac:dyDescent="0.2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 x14ac:dyDescent="0.2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 x14ac:dyDescent="0.2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 x14ac:dyDescent="0.2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 x14ac:dyDescent="0.2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 x14ac:dyDescent="0.2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 x14ac:dyDescent="0.2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 x14ac:dyDescent="0.2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 x14ac:dyDescent="0.2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 x14ac:dyDescent="0.2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 x14ac:dyDescent="0.2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 x14ac:dyDescent="0.2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 x14ac:dyDescent="0.2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 x14ac:dyDescent="0.2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 x14ac:dyDescent="0.2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 x14ac:dyDescent="0.2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 x14ac:dyDescent="0.2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 x14ac:dyDescent="0.2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 x14ac:dyDescent="0.2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 x14ac:dyDescent="0.2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 x14ac:dyDescent="0.2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 x14ac:dyDescent="0.2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 x14ac:dyDescent="0.2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 x14ac:dyDescent="0.2">
      <c r="A185" s="93"/>
      <c r="B185" s="118"/>
      <c r="C185" s="118"/>
      <c r="D185" s="118"/>
      <c r="E185" s="118"/>
      <c r="F185" s="85"/>
      <c r="G185" s="78"/>
    </row>
    <row r="186" spans="1:8" ht="12.75" customHeight="1" x14ac:dyDescent="0.2">
      <c r="A186" s="93"/>
      <c r="B186" s="118"/>
      <c r="C186" s="118"/>
      <c r="D186" s="118"/>
      <c r="E186" s="118"/>
      <c r="F186" s="85"/>
      <c r="G186" s="78"/>
    </row>
    <row r="187" spans="1:8" s="182" customFormat="1" ht="17.25" x14ac:dyDescent="0.3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7.25" x14ac:dyDescent="0.3">
      <c r="A188" s="210"/>
      <c r="B188" s="211"/>
      <c r="C188" s="212"/>
      <c r="D188" s="212"/>
      <c r="E188" s="213"/>
      <c r="F188" s="213"/>
      <c r="G188" s="214"/>
      <c r="H188" s="222"/>
    </row>
    <row r="189" spans="1:8" x14ac:dyDescent="0.2">
      <c r="A189" s="91"/>
      <c r="B189" s="92"/>
      <c r="C189" s="85"/>
      <c r="D189" s="86"/>
      <c r="E189" s="86"/>
      <c r="F189" s="85"/>
      <c r="G189" s="78"/>
    </row>
    <row r="190" spans="1:8" ht="17.25" x14ac:dyDescent="0.2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 x14ac:dyDescent="0.2">
      <c r="A191" s="91"/>
      <c r="B191" s="92"/>
      <c r="C191" s="85"/>
      <c r="D191" s="86"/>
      <c r="E191" s="86"/>
      <c r="F191" s="85"/>
      <c r="G191" s="78"/>
    </row>
    <row r="192" spans="1:8" ht="14.25" customHeight="1" x14ac:dyDescent="0.2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 x14ac:dyDescent="0.2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 x14ac:dyDescent="0.2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 x14ac:dyDescent="0.2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 x14ac:dyDescent="0.2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 x14ac:dyDescent="0.2">
      <c r="A197" s="91"/>
      <c r="B197" s="92"/>
      <c r="C197" s="85"/>
      <c r="D197" s="86"/>
      <c r="E197" s="86"/>
      <c r="F197" s="85"/>
      <c r="G197" s="78"/>
    </row>
    <row r="198" spans="1:10" ht="12.75" customHeight="1" x14ac:dyDescent="0.2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 x14ac:dyDescent="0.2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 x14ac:dyDescent="0.2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 x14ac:dyDescent="0.2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 x14ac:dyDescent="0.2">
      <c r="A202" s="64"/>
      <c r="B202" s="118"/>
      <c r="C202" s="118"/>
      <c r="D202" s="118"/>
      <c r="E202" s="118"/>
      <c r="F202" s="85"/>
      <c r="G202" s="78"/>
    </row>
    <row r="203" spans="1:10" ht="12.75" customHeight="1" x14ac:dyDescent="0.2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 x14ac:dyDescent="0.2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 x14ac:dyDescent="0.2"/>
    <row r="206" spans="1:10" ht="12.75" customHeight="1" x14ac:dyDescent="0.2">
      <c r="G206" s="80"/>
    </row>
    <row r="207" spans="1:10" ht="12.75" customHeight="1" x14ac:dyDescent="0.2">
      <c r="G207" s="88"/>
    </row>
    <row r="208" spans="1:10" ht="12.75" customHeight="1" x14ac:dyDescent="0.2">
      <c r="G208" s="88"/>
    </row>
    <row r="209" spans="7:7" ht="26.25" customHeight="1" x14ac:dyDescent="0.2">
      <c r="G209" s="88"/>
    </row>
    <row r="210" spans="7:7" ht="12.75" customHeight="1" x14ac:dyDescent="0.2">
      <c r="G210" s="88"/>
    </row>
    <row r="211" spans="7:7" ht="12.75" customHeight="1" x14ac:dyDescent="0.2"/>
    <row r="212" spans="7:7" ht="12.75" customHeight="1" x14ac:dyDescent="0.2"/>
    <row r="213" spans="7:7" ht="12.75" customHeight="1" x14ac:dyDescent="0.2"/>
    <row r="214" spans="7:7" ht="12.75" customHeight="1" x14ac:dyDescent="0.2"/>
    <row r="215" spans="7:7" ht="12.75" customHeight="1" x14ac:dyDescent="0.2"/>
    <row r="216" spans="7:7" ht="12.75" customHeight="1" x14ac:dyDescent="0.2"/>
    <row r="217" spans="7:7" ht="12.75" customHeight="1" x14ac:dyDescent="0.2"/>
    <row r="218" spans="7:7" ht="12.75" customHeight="1" x14ac:dyDescent="0.2"/>
    <row r="219" spans="7:7" ht="12.75" customHeight="1" x14ac:dyDescent="0.2"/>
    <row r="220" spans="7:7" ht="12.75" customHeight="1" x14ac:dyDescent="0.2"/>
    <row r="221" spans="7:7" ht="12.75" customHeight="1" x14ac:dyDescent="0.2"/>
    <row r="222" spans="7:7" ht="12.75" customHeight="1" x14ac:dyDescent="0.2"/>
    <row r="223" spans="7:7" ht="12.75" customHeight="1" x14ac:dyDescent="0.2"/>
    <row r="224" spans="7:7" ht="12.75" customHeight="1" x14ac:dyDescent="0.2"/>
    <row r="225" spans="1:7" ht="12.75" customHeight="1" x14ac:dyDescent="0.2"/>
    <row r="226" spans="1:7" ht="12.75" customHeight="1" x14ac:dyDescent="0.2"/>
    <row r="227" spans="1:7" ht="18" customHeight="1" x14ac:dyDescent="0.2"/>
    <row r="228" spans="1:7" ht="12.75" customHeight="1" x14ac:dyDescent="0.2"/>
    <row r="229" spans="1:7" ht="12.75" customHeight="1" x14ac:dyDescent="0.2"/>
    <row r="230" spans="1:7" ht="12.75" customHeight="1" x14ac:dyDescent="0.2"/>
    <row r="231" spans="1:7" ht="12.75" customHeight="1" x14ac:dyDescent="0.2"/>
    <row r="232" spans="1:7" ht="12.75" customHeight="1" x14ac:dyDescent="0.2"/>
    <row r="233" spans="1:7" s="122" customFormat="1" ht="18" customHeight="1" x14ac:dyDescent="0.2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horizontalDpi="300" verticalDpi="300" r:id="rId1"/>
  <headerFooter alignWithMargins="0"/>
  <rowBreaks count="2" manualBreakCount="2">
    <brk id="67" max="6" man="1"/>
    <brk id="149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2578125" defaultRowHeight="12.75" x14ac:dyDescent="0.2"/>
  <cols>
    <col min="1" max="1" width="10.5703125" style="182" customWidth="1"/>
    <col min="2" max="2" width="41.42578125" style="182" customWidth="1"/>
    <col min="3" max="3" width="17.7109375" style="182" customWidth="1"/>
    <col min="4" max="4" width="16.5703125" style="182" customWidth="1"/>
    <col min="5" max="5" width="17.5703125" style="182" customWidth="1"/>
    <col min="6" max="6" width="14.7109375" style="182" customWidth="1"/>
    <col min="7" max="7" width="18.5703125" style="182" customWidth="1"/>
    <col min="8" max="8" width="5.5703125" style="182" customWidth="1"/>
    <col min="9" max="16384" width="11.42578125" style="182"/>
  </cols>
  <sheetData>
    <row r="1" spans="1:7" ht="21.75" x14ac:dyDescent="0.2">
      <c r="A1" s="501" t="s">
        <v>280</v>
      </c>
      <c r="B1" s="501"/>
      <c r="C1" s="501"/>
      <c r="D1" s="501"/>
      <c r="E1" s="501"/>
      <c r="F1" s="501"/>
      <c r="G1" s="501"/>
    </row>
    <row r="2" spans="1:7" x14ac:dyDescent="0.2">
      <c r="A2" s="65"/>
      <c r="B2" s="65"/>
      <c r="C2" s="65"/>
      <c r="D2" s="65"/>
      <c r="E2" s="66"/>
      <c r="F2" s="65"/>
      <c r="G2" s="65"/>
    </row>
    <row r="3" spans="1:7" ht="16.5" x14ac:dyDescent="0.2">
      <c r="A3" s="70"/>
      <c r="B3" s="68"/>
      <c r="C3" s="69"/>
      <c r="D3" s="65"/>
      <c r="E3" s="66"/>
      <c r="F3" s="65"/>
      <c r="G3" s="70"/>
    </row>
    <row r="4" spans="1:7" x14ac:dyDescent="0.2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 x14ac:dyDescent="0.2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 x14ac:dyDescent="0.2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 x14ac:dyDescent="0.2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 x14ac:dyDescent="0.2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5" x14ac:dyDescent="0.2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5" x14ac:dyDescent="0.2">
      <c r="A10" s="70"/>
      <c r="B10" s="29"/>
      <c r="C10" s="502"/>
      <c r="D10" s="502"/>
      <c r="E10" s="502"/>
      <c r="F10" s="502"/>
      <c r="G10" s="502"/>
    </row>
    <row r="11" spans="1:7" ht="15" x14ac:dyDescent="0.2">
      <c r="A11" s="70"/>
      <c r="B11" s="29"/>
      <c r="C11" s="30"/>
      <c r="D11" s="65"/>
      <c r="E11" s="73"/>
      <c r="F11" s="70"/>
      <c r="G11" s="70"/>
    </row>
    <row r="12" spans="1:7" ht="15.75" thickBot="1" x14ac:dyDescent="0.25">
      <c r="A12" s="70"/>
      <c r="B12" s="29"/>
      <c r="C12" s="30"/>
      <c r="D12" s="65"/>
      <c r="E12" s="73"/>
      <c r="F12" s="70"/>
      <c r="G12" s="70"/>
    </row>
    <row r="13" spans="1:7" ht="13.5" thickBot="1" x14ac:dyDescent="0.25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 x14ac:dyDescent="0.2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 x14ac:dyDescent="0.2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 x14ac:dyDescent="0.2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 x14ac:dyDescent="0.2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 x14ac:dyDescent="0.2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5" thickBot="1" x14ac:dyDescent="0.25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7.25" x14ac:dyDescent="0.2">
      <c r="A20" s="70"/>
      <c r="B20" s="75"/>
      <c r="C20" s="75"/>
      <c r="D20" s="75"/>
      <c r="E20" s="75"/>
      <c r="F20" s="88"/>
      <c r="G20" s="65"/>
    </row>
    <row r="21" spans="1:11" ht="17.25" x14ac:dyDescent="0.2">
      <c r="A21" s="70"/>
      <c r="B21" s="75"/>
      <c r="C21" s="75"/>
      <c r="D21" s="75"/>
      <c r="E21" s="75"/>
      <c r="F21" s="88"/>
      <c r="G21" s="65"/>
    </row>
    <row r="22" spans="1:11" x14ac:dyDescent="0.2">
      <c r="A22" s="77"/>
      <c r="B22" s="77"/>
      <c r="C22" s="67"/>
      <c r="D22" s="78"/>
      <c r="E22" s="79"/>
      <c r="F22" s="67"/>
      <c r="G22" s="70"/>
    </row>
    <row r="23" spans="1:11" ht="21.75" x14ac:dyDescent="0.2">
      <c r="A23" s="482" t="s">
        <v>42</v>
      </c>
      <c r="B23" s="483"/>
      <c r="C23" s="483"/>
      <c r="D23" s="483"/>
      <c r="E23" s="483"/>
      <c r="F23" s="483"/>
      <c r="G23" s="483"/>
    </row>
    <row r="24" spans="1:11" ht="21.75" x14ac:dyDescent="0.2">
      <c r="A24" s="230"/>
      <c r="B24" s="231"/>
      <c r="C24" s="232"/>
      <c r="D24" s="231"/>
      <c r="E24" s="233"/>
      <c r="F24" s="231"/>
      <c r="G24" s="231"/>
    </row>
    <row r="25" spans="1:11" ht="21.75" x14ac:dyDescent="0.2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 x14ac:dyDescent="0.2">
      <c r="A26" s="123"/>
      <c r="B26" s="123"/>
      <c r="C26" s="124"/>
      <c r="D26" s="125"/>
      <c r="E26" s="126"/>
      <c r="F26" s="123"/>
      <c r="G26" s="123"/>
    </row>
    <row r="27" spans="1:11" x14ac:dyDescent="0.2">
      <c r="A27" s="64"/>
      <c r="B27" s="85"/>
      <c r="C27" s="85"/>
      <c r="D27" s="85"/>
      <c r="E27" s="86"/>
      <c r="F27" s="85"/>
      <c r="G27" s="85"/>
    </row>
    <row r="28" spans="1:11" x14ac:dyDescent="0.2">
      <c r="A28" s="64"/>
      <c r="B28" s="118"/>
      <c r="C28" s="118"/>
      <c r="D28" s="118"/>
      <c r="E28" s="118"/>
      <c r="F28" s="85"/>
      <c r="G28" s="78"/>
    </row>
    <row r="29" spans="1:11" ht="17.25" x14ac:dyDescent="0.3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7.25" x14ac:dyDescent="0.2">
      <c r="A30" s="127"/>
      <c r="B30" s="154"/>
      <c r="C30" s="146"/>
      <c r="D30" s="146"/>
      <c r="E30" s="145"/>
      <c r="F30" s="129"/>
      <c r="G30" s="130"/>
    </row>
    <row r="31" spans="1:11" x14ac:dyDescent="0.2">
      <c r="A31" s="133"/>
      <c r="B31" s="81"/>
      <c r="C31" s="81"/>
      <c r="D31" s="81"/>
      <c r="E31" s="81"/>
      <c r="F31" s="153"/>
      <c r="G31" s="70"/>
    </row>
    <row r="32" spans="1:11" ht="17.25" x14ac:dyDescent="0.2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7.25" x14ac:dyDescent="0.2">
      <c r="A33" s="127"/>
      <c r="B33" s="154"/>
      <c r="C33" s="146"/>
      <c r="D33" s="146"/>
      <c r="E33" s="145"/>
      <c r="F33" s="129"/>
      <c r="G33" s="130"/>
    </row>
    <row r="34" spans="1:9" ht="17.25" x14ac:dyDescent="0.2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7.25" x14ac:dyDescent="0.2">
      <c r="A35" s="127"/>
      <c r="B35" s="92"/>
      <c r="C35" s="85"/>
      <c r="D35" s="85"/>
      <c r="E35" s="86"/>
      <c r="F35" s="85"/>
      <c r="G35" s="130"/>
    </row>
    <row r="36" spans="1:9" ht="17.25" x14ac:dyDescent="0.2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7.25" x14ac:dyDescent="0.2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7.25" x14ac:dyDescent="0.2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 x14ac:dyDescent="0.2">
      <c r="A39" s="133"/>
      <c r="B39" s="81"/>
      <c r="C39" s="81"/>
      <c r="D39" s="81"/>
      <c r="E39" s="81"/>
      <c r="F39" s="153"/>
      <c r="G39" s="70"/>
    </row>
    <row r="40" spans="1:9" x14ac:dyDescent="0.2">
      <c r="A40" s="93"/>
      <c r="B40" s="118"/>
      <c r="C40" s="118"/>
      <c r="D40" s="118"/>
      <c r="E40" s="118"/>
      <c r="F40" s="70"/>
      <c r="G40" s="78"/>
    </row>
    <row r="41" spans="1:9" ht="17.25" x14ac:dyDescent="0.2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1.75" x14ac:dyDescent="0.2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 x14ac:dyDescent="0.2">
      <c r="A44" s="123"/>
      <c r="B44" s="123"/>
      <c r="C44" s="124"/>
      <c r="D44" s="125"/>
      <c r="E44" s="126"/>
      <c r="F44" s="123"/>
      <c r="G44" s="123"/>
      <c r="I44" s="184"/>
    </row>
    <row r="45" spans="1:9" ht="17.25" x14ac:dyDescent="0.3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7.25" x14ac:dyDescent="0.3">
      <c r="A46" s="226"/>
      <c r="B46" s="223"/>
      <c r="C46" s="212"/>
      <c r="D46" s="212"/>
      <c r="E46" s="213"/>
      <c r="F46" s="213"/>
      <c r="G46" s="214"/>
    </row>
    <row r="47" spans="1:9" ht="17.25" x14ac:dyDescent="0.2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 x14ac:dyDescent="0.2">
      <c r="A48" s="89"/>
      <c r="B48" s="90"/>
      <c r="C48" s="85"/>
      <c r="D48" s="85"/>
      <c r="E48" s="86"/>
      <c r="F48" s="85"/>
      <c r="G48" s="85"/>
    </row>
    <row r="49" spans="1:7" x14ac:dyDescent="0.2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 x14ac:dyDescent="0.2">
      <c r="A50" s="93"/>
      <c r="B50" s="78"/>
      <c r="C50" s="85"/>
      <c r="D50" s="85"/>
      <c r="E50" s="86"/>
      <c r="F50" s="85"/>
      <c r="G50" s="85"/>
    </row>
    <row r="51" spans="1:7" x14ac:dyDescent="0.2">
      <c r="A51" s="64"/>
      <c r="B51" s="92" t="s">
        <v>44</v>
      </c>
      <c r="C51" s="78"/>
      <c r="D51" s="78"/>
      <c r="E51" s="94"/>
      <c r="F51" s="78"/>
      <c r="G51" s="85"/>
    </row>
    <row r="52" spans="1:7" x14ac:dyDescent="0.2">
      <c r="A52" s="64"/>
      <c r="B52" s="92"/>
      <c r="C52" s="78"/>
      <c r="D52" s="78"/>
      <c r="E52" s="94"/>
      <c r="F52" s="78"/>
      <c r="G52" s="85"/>
    </row>
    <row r="53" spans="1:7" x14ac:dyDescent="0.2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x14ac:dyDescent="0.2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 x14ac:dyDescent="0.2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 x14ac:dyDescent="0.2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 x14ac:dyDescent="0.2">
      <c r="A57" s="64"/>
      <c r="B57" s="85"/>
      <c r="C57" s="85"/>
      <c r="D57" s="85"/>
      <c r="E57" s="86"/>
      <c r="F57" s="85"/>
      <c r="G57" s="85"/>
    </row>
    <row r="58" spans="1:7" x14ac:dyDescent="0.2">
      <c r="A58" s="64"/>
      <c r="B58" s="85"/>
      <c r="C58" s="85"/>
      <c r="D58" s="85"/>
      <c r="E58" s="86"/>
      <c r="F58" s="85"/>
      <c r="G58" s="85"/>
    </row>
    <row r="59" spans="1:7" ht="17.25" x14ac:dyDescent="0.2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 x14ac:dyDescent="0.2">
      <c r="A60" s="89"/>
      <c r="B60" s="90"/>
      <c r="C60" s="85"/>
      <c r="D60" s="85"/>
      <c r="E60" s="86"/>
      <c r="F60" s="85"/>
      <c r="G60" s="85"/>
    </row>
    <row r="61" spans="1:7" x14ac:dyDescent="0.2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 x14ac:dyDescent="0.2">
      <c r="A62" s="91"/>
      <c r="B62" s="92"/>
      <c r="C62" s="85"/>
      <c r="D62" s="85"/>
      <c r="E62" s="86"/>
      <c r="F62" s="85"/>
      <c r="G62" s="85"/>
    </row>
    <row r="63" spans="1:7" x14ac:dyDescent="0.2">
      <c r="A63" s="93"/>
      <c r="B63" s="92" t="s">
        <v>44</v>
      </c>
      <c r="C63" s="78"/>
      <c r="D63" s="78"/>
      <c r="E63" s="94"/>
      <c r="F63" s="85"/>
      <c r="G63" s="85"/>
    </row>
    <row r="64" spans="1:7" x14ac:dyDescent="0.2">
      <c r="A64" s="93"/>
      <c r="B64" s="92"/>
      <c r="C64" s="78"/>
      <c r="D64" s="78"/>
      <c r="E64" s="94"/>
      <c r="F64" s="85"/>
      <c r="G64" s="85"/>
    </row>
    <row r="65" spans="1:7" x14ac:dyDescent="0.2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 x14ac:dyDescent="0.2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 x14ac:dyDescent="0.2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 x14ac:dyDescent="0.2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 x14ac:dyDescent="0.2">
      <c r="A69" s="64"/>
      <c r="B69" s="101"/>
      <c r="C69" s="101"/>
      <c r="D69" s="101"/>
      <c r="E69" s="86"/>
      <c r="F69" s="85"/>
      <c r="G69" s="85"/>
    </row>
    <row r="70" spans="1:7" x14ac:dyDescent="0.2">
      <c r="A70" s="64"/>
      <c r="B70" s="101"/>
      <c r="C70" s="85"/>
      <c r="D70" s="101"/>
      <c r="E70" s="86"/>
      <c r="F70" s="85"/>
      <c r="G70" s="85"/>
    </row>
    <row r="71" spans="1:7" x14ac:dyDescent="0.2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 x14ac:dyDescent="0.2">
      <c r="A72" s="91"/>
      <c r="B72" s="92"/>
      <c r="C72" s="85"/>
      <c r="D72" s="85"/>
      <c r="E72" s="86"/>
      <c r="F72" s="85"/>
      <c r="G72" s="85"/>
    </row>
    <row r="73" spans="1:7" x14ac:dyDescent="0.2">
      <c r="A73" s="64"/>
      <c r="B73" s="92" t="s">
        <v>44</v>
      </c>
      <c r="C73" s="78"/>
      <c r="D73" s="78"/>
      <c r="E73" s="94"/>
      <c r="F73" s="85"/>
      <c r="G73" s="85"/>
    </row>
    <row r="74" spans="1:7" x14ac:dyDescent="0.2">
      <c r="A74" s="64"/>
      <c r="B74" s="92"/>
      <c r="C74" s="78"/>
      <c r="D74" s="78"/>
      <c r="E74" s="94"/>
      <c r="F74" s="85"/>
      <c r="G74" s="85"/>
    </row>
    <row r="75" spans="1:7" x14ac:dyDescent="0.2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 x14ac:dyDescent="0.2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 x14ac:dyDescent="0.2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 x14ac:dyDescent="0.2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 x14ac:dyDescent="0.2">
      <c r="A79" s="64"/>
      <c r="B79" s="101"/>
      <c r="C79" s="85"/>
      <c r="D79" s="101"/>
      <c r="E79" s="86"/>
      <c r="F79" s="85"/>
      <c r="G79" s="85"/>
    </row>
    <row r="80" spans="1:7" ht="17.25" x14ac:dyDescent="0.2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 x14ac:dyDescent="0.2">
      <c r="A81" s="91"/>
      <c r="B81" s="92"/>
      <c r="C81" s="85"/>
      <c r="D81" s="85"/>
      <c r="E81" s="86"/>
      <c r="F81" s="85"/>
      <c r="G81" s="85"/>
    </row>
    <row r="82" spans="1:7" x14ac:dyDescent="0.2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 x14ac:dyDescent="0.2">
      <c r="A83" s="93"/>
      <c r="B83" s="103"/>
      <c r="C83" s="85"/>
      <c r="D83" s="85"/>
      <c r="E83" s="86"/>
      <c r="F83" s="85"/>
      <c r="G83" s="85"/>
    </row>
    <row r="84" spans="1:7" x14ac:dyDescent="0.2">
      <c r="A84" s="64"/>
      <c r="B84" s="92" t="s">
        <v>44</v>
      </c>
      <c r="C84" s="78"/>
      <c r="D84" s="78"/>
      <c r="E84" s="94"/>
      <c r="F84" s="78"/>
      <c r="G84" s="85"/>
    </row>
    <row r="85" spans="1:7" x14ac:dyDescent="0.2">
      <c r="A85" s="64"/>
      <c r="B85" s="92"/>
      <c r="C85" s="78"/>
      <c r="D85" s="78"/>
      <c r="E85" s="94"/>
      <c r="F85" s="78"/>
      <c r="G85" s="85"/>
    </row>
    <row r="86" spans="1:7" x14ac:dyDescent="0.2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 x14ac:dyDescent="0.2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 x14ac:dyDescent="0.2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 x14ac:dyDescent="0.2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 x14ac:dyDescent="0.2">
      <c r="A90" s="91"/>
      <c r="B90" s="92"/>
      <c r="C90" s="85"/>
      <c r="D90" s="85"/>
      <c r="E90" s="86"/>
      <c r="F90" s="85"/>
      <c r="G90" s="85"/>
    </row>
    <row r="91" spans="1:7" x14ac:dyDescent="0.2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 x14ac:dyDescent="0.2">
      <c r="A92" s="93"/>
      <c r="B92" s="103"/>
      <c r="C92" s="85"/>
      <c r="D92" s="85"/>
      <c r="E92" s="86"/>
      <c r="F92" s="85"/>
      <c r="G92" s="85"/>
    </row>
    <row r="93" spans="1:7" x14ac:dyDescent="0.2">
      <c r="A93" s="64"/>
      <c r="B93" s="92" t="s">
        <v>44</v>
      </c>
      <c r="C93" s="78"/>
      <c r="D93" s="78"/>
      <c r="E93" s="94"/>
      <c r="F93" s="78"/>
      <c r="G93" s="85"/>
    </row>
    <row r="94" spans="1:7" x14ac:dyDescent="0.2">
      <c r="A94" s="64"/>
      <c r="B94" s="92"/>
      <c r="C94" s="78"/>
      <c r="D94" s="78"/>
      <c r="E94" s="94"/>
      <c r="F94" s="78"/>
      <c r="G94" s="85"/>
    </row>
    <row r="95" spans="1:7" x14ac:dyDescent="0.2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 x14ac:dyDescent="0.2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 x14ac:dyDescent="0.2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 x14ac:dyDescent="0.2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 x14ac:dyDescent="0.2">
      <c r="A99" s="91"/>
      <c r="B99" s="92"/>
      <c r="C99" s="85"/>
      <c r="D99" s="85"/>
      <c r="E99" s="86"/>
      <c r="F99" s="85"/>
      <c r="G99" s="85"/>
    </row>
    <row r="100" spans="1:7" ht="17.25" x14ac:dyDescent="0.2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 x14ac:dyDescent="0.2">
      <c r="A101" s="91"/>
      <c r="B101" s="92"/>
      <c r="C101" s="85"/>
      <c r="D101" s="85"/>
      <c r="E101" s="86"/>
      <c r="F101" s="85"/>
      <c r="G101" s="85"/>
    </row>
    <row r="102" spans="1:7" ht="17.25" x14ac:dyDescent="0.2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 x14ac:dyDescent="0.2">
      <c r="A103" s="102"/>
      <c r="B103" s="92"/>
      <c r="C103" s="78"/>
      <c r="D103" s="78"/>
      <c r="E103" s="94"/>
      <c r="F103" s="78"/>
      <c r="G103" s="85"/>
    </row>
    <row r="104" spans="1:7" x14ac:dyDescent="0.2">
      <c r="A104" s="102"/>
      <c r="B104" s="92" t="s">
        <v>44</v>
      </c>
      <c r="C104" s="78"/>
      <c r="D104" s="78"/>
      <c r="E104" s="94"/>
      <c r="F104" s="78"/>
      <c r="G104" s="85"/>
    </row>
    <row r="105" spans="1:7" x14ac:dyDescent="0.2">
      <c r="A105" s="64"/>
      <c r="B105" s="92"/>
      <c r="C105" s="78"/>
      <c r="D105" s="78"/>
      <c r="E105" s="94"/>
      <c r="F105" s="78"/>
      <c r="G105" s="85"/>
    </row>
    <row r="106" spans="1:7" x14ac:dyDescent="0.2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 x14ac:dyDescent="0.2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 x14ac:dyDescent="0.2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 x14ac:dyDescent="0.2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 x14ac:dyDescent="0.2">
      <c r="A110" s="64"/>
      <c r="B110" s="85"/>
      <c r="C110" s="85"/>
      <c r="D110" s="85"/>
      <c r="E110" s="86"/>
      <c r="F110" s="85"/>
      <c r="G110" s="85"/>
    </row>
    <row r="111" spans="1:7" ht="17.25" x14ac:dyDescent="0.3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 x14ac:dyDescent="0.2">
      <c r="A112" s="91"/>
      <c r="B112" s="92"/>
      <c r="C112" s="85"/>
      <c r="D112" s="85"/>
      <c r="E112" s="86"/>
      <c r="F112" s="85"/>
      <c r="G112" s="85"/>
    </row>
    <row r="113" spans="1:7" ht="17.25" x14ac:dyDescent="0.2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 x14ac:dyDescent="0.2">
      <c r="A114" s="91"/>
      <c r="B114" s="92"/>
      <c r="C114" s="85"/>
      <c r="D114" s="85"/>
      <c r="E114" s="86"/>
      <c r="F114" s="85"/>
      <c r="G114" s="85"/>
    </row>
    <row r="115" spans="1:7" x14ac:dyDescent="0.2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 x14ac:dyDescent="0.2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 x14ac:dyDescent="0.2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 x14ac:dyDescent="0.2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 x14ac:dyDescent="0.2">
      <c r="A119" s="64"/>
      <c r="B119" s="118"/>
      <c r="C119" s="118"/>
      <c r="D119" s="118"/>
      <c r="E119" s="118"/>
      <c r="F119" s="118"/>
      <c r="G119" s="103"/>
    </row>
    <row r="120" spans="1:7" x14ac:dyDescent="0.2">
      <c r="A120" s="64"/>
      <c r="B120" s="85"/>
      <c r="C120" s="85"/>
      <c r="D120" s="85"/>
      <c r="E120" s="86"/>
      <c r="F120" s="85"/>
      <c r="G120" s="85"/>
    </row>
    <row r="121" spans="1:7" ht="17.25" x14ac:dyDescent="0.2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 x14ac:dyDescent="0.2">
      <c r="A122" s="131"/>
      <c r="B122" s="132"/>
      <c r="C122" s="139"/>
      <c r="D122" s="140"/>
      <c r="E122" s="139"/>
      <c r="F122" s="140"/>
      <c r="G122" s="70"/>
    </row>
    <row r="123" spans="1:7" x14ac:dyDescent="0.2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 x14ac:dyDescent="0.2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 x14ac:dyDescent="0.2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 x14ac:dyDescent="0.2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 x14ac:dyDescent="0.2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 x14ac:dyDescent="0.2">
      <c r="A128" s="133"/>
      <c r="B128" s="142"/>
      <c r="C128" s="126"/>
      <c r="D128" s="143"/>
      <c r="E128" s="126"/>
      <c r="F128" s="143"/>
      <c r="G128" s="70"/>
    </row>
    <row r="129" spans="1:7" ht="17.25" x14ac:dyDescent="0.2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 x14ac:dyDescent="0.2">
      <c r="A130" s="91"/>
      <c r="B130" s="92"/>
      <c r="C130" s="85"/>
      <c r="D130" s="85"/>
      <c r="E130" s="86"/>
      <c r="F130" s="85"/>
      <c r="G130" s="78"/>
    </row>
    <row r="131" spans="1:7" x14ac:dyDescent="0.2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 x14ac:dyDescent="0.2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 x14ac:dyDescent="0.2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 x14ac:dyDescent="0.2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 x14ac:dyDescent="0.2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 x14ac:dyDescent="0.2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 x14ac:dyDescent="0.2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 x14ac:dyDescent="0.2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 x14ac:dyDescent="0.2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 x14ac:dyDescent="0.2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 x14ac:dyDescent="0.2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 x14ac:dyDescent="0.2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 x14ac:dyDescent="0.2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 x14ac:dyDescent="0.2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 x14ac:dyDescent="0.2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 x14ac:dyDescent="0.2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 x14ac:dyDescent="0.2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 x14ac:dyDescent="0.2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 x14ac:dyDescent="0.2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 x14ac:dyDescent="0.2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 x14ac:dyDescent="0.2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 x14ac:dyDescent="0.2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 x14ac:dyDescent="0.2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 x14ac:dyDescent="0.2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 x14ac:dyDescent="0.2">
      <c r="A155" s="93"/>
      <c r="B155" s="118"/>
      <c r="C155" s="118"/>
      <c r="D155" s="118"/>
      <c r="E155" s="118"/>
      <c r="F155" s="85"/>
      <c r="G155" s="78"/>
    </row>
    <row r="156" spans="1:10" ht="17.25" x14ac:dyDescent="0.2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 x14ac:dyDescent="0.2">
      <c r="A157" s="91"/>
      <c r="B157" s="92"/>
      <c r="C157" s="85"/>
      <c r="D157" s="85"/>
      <c r="E157" s="86"/>
      <c r="F157" s="85"/>
      <c r="G157" s="78"/>
    </row>
    <row r="158" spans="1:10" x14ac:dyDescent="0.2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 x14ac:dyDescent="0.2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 x14ac:dyDescent="0.2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 x14ac:dyDescent="0.2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 x14ac:dyDescent="0.2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7.25" x14ac:dyDescent="0.2">
      <c r="A163" s="127"/>
      <c r="B163" s="91"/>
      <c r="C163" s="92"/>
      <c r="D163" s="144"/>
      <c r="E163" s="145"/>
      <c r="F163" s="129"/>
      <c r="G163" s="130"/>
    </row>
    <row r="164" spans="1:7" x14ac:dyDescent="0.2">
      <c r="A164" s="64"/>
      <c r="B164" s="118"/>
      <c r="C164" s="118"/>
      <c r="D164" s="118"/>
      <c r="E164" s="118"/>
      <c r="F164" s="85"/>
      <c r="G164" s="78"/>
    </row>
    <row r="165" spans="1:7" ht="17.25" x14ac:dyDescent="0.3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7.25" x14ac:dyDescent="0.2">
      <c r="A166" s="127"/>
      <c r="B166" s="154"/>
      <c r="C166" s="146"/>
      <c r="D166" s="146"/>
      <c r="E166" s="145"/>
      <c r="F166" s="129"/>
      <c r="G166" s="130"/>
    </row>
    <row r="167" spans="1:7" ht="17.25" x14ac:dyDescent="0.2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7.25" x14ac:dyDescent="0.2">
      <c r="A168" s="127"/>
      <c r="B168" s="154"/>
      <c r="C168" s="146"/>
      <c r="D168" s="146"/>
      <c r="E168" s="145"/>
      <c r="F168" s="129"/>
      <c r="G168" s="130"/>
    </row>
    <row r="169" spans="1:7" ht="17.25" x14ac:dyDescent="0.2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7.25" x14ac:dyDescent="0.2">
      <c r="A170" s="127"/>
      <c r="B170" s="92"/>
      <c r="C170" s="85"/>
      <c r="D170" s="85"/>
      <c r="E170" s="86"/>
      <c r="F170" s="85"/>
      <c r="G170" s="130"/>
    </row>
    <row r="171" spans="1:7" ht="17.25" x14ac:dyDescent="0.2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7.25" x14ac:dyDescent="0.2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7.25" x14ac:dyDescent="0.2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7.25" x14ac:dyDescent="0.2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7.25" x14ac:dyDescent="0.2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 x14ac:dyDescent="0.2">
      <c r="A176" s="133"/>
      <c r="B176" s="81"/>
      <c r="C176" s="81"/>
      <c r="D176" s="81"/>
      <c r="E176" s="81"/>
      <c r="F176" s="153"/>
      <c r="G176" s="70"/>
    </row>
    <row r="177" spans="1:7" x14ac:dyDescent="0.2">
      <c r="A177" s="93"/>
      <c r="B177" s="118"/>
      <c r="C177" s="118"/>
      <c r="D177" s="118"/>
      <c r="E177" s="118"/>
      <c r="F177" s="85"/>
      <c r="G177" s="78"/>
    </row>
    <row r="178" spans="1:7" ht="17.25" x14ac:dyDescent="0.2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9.5" x14ac:dyDescent="0.2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2578125" defaultRowHeight="12.75" x14ac:dyDescent="0.2"/>
  <cols>
    <col min="1" max="1" width="8.7109375" style="70" customWidth="1"/>
    <col min="2" max="2" width="46.7109375" style="70" customWidth="1"/>
    <col min="3" max="3" width="18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4.5703125" style="70" customWidth="1"/>
    <col min="8" max="8" width="11.42578125" style="63"/>
    <col min="9" max="9" width="14.140625" style="63" customWidth="1"/>
    <col min="10" max="16384" width="11.42578125" style="63"/>
  </cols>
  <sheetData>
    <row r="1" spans="1:7" ht="21" customHeight="1" x14ac:dyDescent="0.2"/>
    <row r="2" spans="1:7" ht="21" customHeight="1" x14ac:dyDescent="0.2"/>
    <row r="3" spans="1:7" ht="27" customHeight="1" x14ac:dyDescent="0.2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 x14ac:dyDescent="0.2">
      <c r="A4" s="65"/>
      <c r="B4" s="65"/>
      <c r="C4" s="65"/>
      <c r="D4" s="65"/>
      <c r="E4" s="66"/>
      <c r="F4" s="65"/>
      <c r="G4" s="65"/>
    </row>
    <row r="5" spans="1:7" ht="18" customHeight="1" x14ac:dyDescent="0.2">
      <c r="B5" s="68"/>
      <c r="C5" s="69"/>
      <c r="D5" s="65"/>
      <c r="E5" s="66"/>
      <c r="F5" s="65"/>
    </row>
    <row r="6" spans="1:7" ht="18" customHeight="1" x14ac:dyDescent="0.2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 x14ac:dyDescent="0.2">
      <c r="B7" s="68" t="s">
        <v>65</v>
      </c>
      <c r="C7" s="30" t="str">
        <f>'R'!C10</f>
        <v>:22 EDUCACIÓN</v>
      </c>
      <c r="G7" s="33" t="s">
        <v>1</v>
      </c>
    </row>
    <row r="8" spans="1:7" ht="18" customHeight="1" x14ac:dyDescent="0.2">
      <c r="B8" s="29" t="s">
        <v>66</v>
      </c>
      <c r="C8" s="30" t="str">
        <f>'R'!C11</f>
        <v>:047 EDUCACIÓN BÁSICA</v>
      </c>
      <c r="G8" s="33"/>
    </row>
    <row r="9" spans="1:7" ht="18" customHeight="1" x14ac:dyDescent="0.2">
      <c r="B9" s="29" t="s">
        <v>67</v>
      </c>
      <c r="C9" s="30" t="str">
        <f>'R'!C12</f>
        <v>:EDUCACIÓN PRIMARIA SECUNDARIA</v>
      </c>
    </row>
    <row r="10" spans="1:7" ht="18" customHeight="1" x14ac:dyDescent="0.2">
      <c r="B10" s="29" t="s">
        <v>111</v>
      </c>
      <c r="C10" s="502" t="s">
        <v>654</v>
      </c>
      <c r="D10" s="502"/>
      <c r="E10" s="502"/>
      <c r="F10" s="502"/>
      <c r="G10" s="502"/>
    </row>
    <row r="11" spans="1:7" ht="18" customHeight="1" x14ac:dyDescent="0.2">
      <c r="B11" s="29"/>
      <c r="C11" s="502"/>
      <c r="D11" s="502"/>
      <c r="E11" s="502"/>
      <c r="F11" s="502"/>
      <c r="G11" s="502"/>
    </row>
    <row r="12" spans="1:7" ht="18" customHeight="1" thickBot="1" x14ac:dyDescent="0.25">
      <c r="B12" s="29"/>
      <c r="C12" s="30"/>
      <c r="D12" s="65"/>
    </row>
    <row r="13" spans="1:7" s="182" customFormat="1" ht="20.25" customHeight="1" thickBot="1" x14ac:dyDescent="0.25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 x14ac:dyDescent="0.2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 x14ac:dyDescent="0.2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 x14ac:dyDescent="0.2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 x14ac:dyDescent="0.2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 x14ac:dyDescent="0.25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 x14ac:dyDescent="0.2">
      <c r="B19" s="75"/>
      <c r="C19" s="75"/>
      <c r="D19" s="75"/>
      <c r="E19" s="75"/>
      <c r="F19" s="88"/>
      <c r="G19" s="65"/>
    </row>
    <row r="20" spans="1:10" ht="18" customHeight="1" x14ac:dyDescent="0.2">
      <c r="B20" s="75"/>
      <c r="C20" s="75"/>
      <c r="D20" s="75"/>
      <c r="E20" s="75"/>
      <c r="F20" s="88"/>
      <c r="G20" s="65"/>
    </row>
    <row r="21" spans="1:10" ht="18" customHeight="1" x14ac:dyDescent="0.2">
      <c r="B21" s="75"/>
      <c r="C21" s="75"/>
      <c r="D21" s="75"/>
      <c r="E21" s="75"/>
      <c r="F21" s="88"/>
      <c r="G21" s="65"/>
    </row>
    <row r="22" spans="1:10" ht="18" customHeight="1" x14ac:dyDescent="0.2">
      <c r="B22" s="75"/>
      <c r="C22" s="75"/>
      <c r="D22" s="75"/>
      <c r="E22" s="75"/>
      <c r="F22" s="88"/>
      <c r="G22" s="65"/>
    </row>
    <row r="23" spans="1:10" ht="27" customHeight="1" x14ac:dyDescent="0.2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 x14ac:dyDescent="0.2">
      <c r="A24" s="245"/>
      <c r="B24" s="246"/>
      <c r="C24" s="247"/>
      <c r="D24" s="246"/>
      <c r="E24" s="248"/>
      <c r="F24" s="246"/>
      <c r="G24" s="246"/>
    </row>
    <row r="25" spans="1:10" ht="27" customHeight="1" x14ac:dyDescent="0.2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 x14ac:dyDescent="0.2">
      <c r="A26" s="332"/>
      <c r="B26" s="332"/>
      <c r="C26" s="332"/>
      <c r="D26" s="332"/>
      <c r="E26" s="332"/>
      <c r="F26" s="332"/>
      <c r="G26" s="332"/>
    </row>
    <row r="27" spans="1:10" ht="12.75" customHeight="1" x14ac:dyDescent="0.2">
      <c r="A27" s="249"/>
      <c r="B27" s="249"/>
      <c r="C27" s="250"/>
      <c r="D27" s="251"/>
      <c r="E27" s="252"/>
      <c r="F27" s="249"/>
      <c r="G27" s="249"/>
    </row>
    <row r="28" spans="1:10" s="182" customFormat="1" ht="17.25" x14ac:dyDescent="0.3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7.25" x14ac:dyDescent="0.3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 x14ac:dyDescent="0.2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 x14ac:dyDescent="0.2">
      <c r="A31" s="89"/>
      <c r="B31" s="90"/>
      <c r="C31" s="85"/>
      <c r="D31" s="85"/>
      <c r="E31" s="86"/>
      <c r="F31" s="85"/>
      <c r="G31" s="85"/>
    </row>
    <row r="32" spans="1:10" ht="12.75" customHeight="1" x14ac:dyDescent="0.2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 x14ac:dyDescent="0.2">
      <c r="A33" s="93"/>
      <c r="B33" s="78"/>
      <c r="C33" s="85"/>
      <c r="D33" s="85"/>
      <c r="E33" s="86"/>
      <c r="F33" s="85"/>
      <c r="G33" s="85"/>
    </row>
    <row r="34" spans="1:9" ht="12.75" customHeight="1" x14ac:dyDescent="0.2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 x14ac:dyDescent="0.2">
      <c r="A35" s="64"/>
      <c r="B35" s="92"/>
      <c r="C35" s="78"/>
      <c r="D35" s="78"/>
      <c r="E35" s="94"/>
      <c r="F35" s="78"/>
      <c r="G35" s="85"/>
    </row>
    <row r="36" spans="1:9" ht="12.75" customHeight="1" x14ac:dyDescent="0.2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 x14ac:dyDescent="0.2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 x14ac:dyDescent="0.2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 x14ac:dyDescent="0.2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 x14ac:dyDescent="0.2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 x14ac:dyDescent="0.2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 x14ac:dyDescent="0.2">
      <c r="A42" s="64"/>
      <c r="B42" s="85"/>
      <c r="C42" s="85"/>
      <c r="D42" s="85"/>
      <c r="E42" s="86"/>
      <c r="F42" s="85"/>
      <c r="G42" s="85"/>
    </row>
    <row r="43" spans="1:9" ht="18" customHeight="1" x14ac:dyDescent="0.2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 x14ac:dyDescent="0.2">
      <c r="A44" s="89"/>
      <c r="B44" s="90"/>
      <c r="C44" s="85"/>
      <c r="D44" s="85"/>
      <c r="E44" s="86"/>
      <c r="F44" s="85"/>
      <c r="G44" s="85"/>
      <c r="H44" s="189"/>
    </row>
    <row r="45" spans="1:9" ht="12.75" customHeight="1" x14ac:dyDescent="0.2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 x14ac:dyDescent="0.2">
      <c r="A46" s="91"/>
      <c r="B46" s="92"/>
      <c r="C46" s="85"/>
      <c r="D46" s="85"/>
      <c r="E46" s="86"/>
      <c r="F46" s="85"/>
      <c r="G46" s="85"/>
    </row>
    <row r="47" spans="1:9" ht="12.75" customHeight="1" x14ac:dyDescent="0.2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 x14ac:dyDescent="0.2">
      <c r="A48" s="93"/>
      <c r="B48" s="92"/>
      <c r="C48" s="78"/>
      <c r="D48" s="78"/>
      <c r="E48" s="94"/>
      <c r="F48" s="85"/>
      <c r="G48" s="85"/>
    </row>
    <row r="49" spans="1:7" ht="12.75" customHeight="1" x14ac:dyDescent="0.2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 x14ac:dyDescent="0.2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 x14ac:dyDescent="0.2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 x14ac:dyDescent="0.2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 x14ac:dyDescent="0.2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 x14ac:dyDescent="0.2">
      <c r="A54" s="64"/>
      <c r="B54" s="101"/>
      <c r="C54" s="101"/>
      <c r="D54" s="101"/>
      <c r="E54" s="86"/>
      <c r="F54" s="85"/>
      <c r="G54" s="85"/>
    </row>
    <row r="55" spans="1:7" ht="12.75" customHeight="1" x14ac:dyDescent="0.2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 x14ac:dyDescent="0.2">
      <c r="A56" s="91"/>
      <c r="B56" s="92"/>
      <c r="C56" s="85"/>
      <c r="D56" s="85"/>
      <c r="E56" s="86"/>
      <c r="F56" s="85"/>
      <c r="G56" s="85"/>
    </row>
    <row r="57" spans="1:7" ht="12.75" customHeight="1" x14ac:dyDescent="0.2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 x14ac:dyDescent="0.2">
      <c r="A58" s="64"/>
      <c r="B58" s="92"/>
      <c r="C58" s="78"/>
      <c r="D58" s="78"/>
      <c r="E58" s="94"/>
      <c r="F58" s="85"/>
      <c r="G58" s="85"/>
    </row>
    <row r="59" spans="1:7" ht="12.75" customHeight="1" x14ac:dyDescent="0.2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 x14ac:dyDescent="0.2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 x14ac:dyDescent="0.2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 x14ac:dyDescent="0.2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 x14ac:dyDescent="0.2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 x14ac:dyDescent="0.2">
      <c r="A64" s="64"/>
      <c r="B64" s="101"/>
      <c r="C64" s="85"/>
      <c r="D64" s="101"/>
      <c r="E64" s="86"/>
      <c r="F64" s="85"/>
      <c r="G64" s="85"/>
    </row>
    <row r="65" spans="1:8" ht="18" customHeight="1" x14ac:dyDescent="0.2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 x14ac:dyDescent="0.2">
      <c r="A66" s="91"/>
      <c r="B66" s="92"/>
      <c r="C66" s="85"/>
      <c r="D66" s="85"/>
      <c r="E66" s="86"/>
      <c r="F66" s="85"/>
      <c r="G66" s="85"/>
      <c r="H66" s="189"/>
    </row>
    <row r="67" spans="1:8" ht="12.75" customHeight="1" x14ac:dyDescent="0.2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 x14ac:dyDescent="0.2">
      <c r="A68" s="93"/>
      <c r="B68" s="103"/>
      <c r="C68" s="85"/>
      <c r="D68" s="85"/>
      <c r="E68" s="86"/>
      <c r="F68" s="85"/>
      <c r="G68" s="85"/>
    </row>
    <row r="69" spans="1:8" ht="12.75" customHeight="1" x14ac:dyDescent="0.2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 x14ac:dyDescent="0.2">
      <c r="A70" s="64"/>
      <c r="B70" s="92"/>
      <c r="C70" s="78"/>
      <c r="D70" s="78"/>
      <c r="E70" s="94"/>
      <c r="F70" s="78"/>
      <c r="G70" s="85"/>
    </row>
    <row r="71" spans="1:8" ht="12.75" customHeight="1" x14ac:dyDescent="0.2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 x14ac:dyDescent="0.2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 x14ac:dyDescent="0.2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 x14ac:dyDescent="0.2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 x14ac:dyDescent="0.2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 x14ac:dyDescent="0.2">
      <c r="A76" s="91"/>
      <c r="B76" s="92"/>
      <c r="C76" s="85"/>
      <c r="D76" s="85"/>
      <c r="E76" s="86"/>
      <c r="F76" s="85"/>
      <c r="G76" s="85"/>
    </row>
    <row r="77" spans="1:8" ht="12.75" customHeight="1" x14ac:dyDescent="0.2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 x14ac:dyDescent="0.2">
      <c r="A78" s="93"/>
      <c r="B78" s="103"/>
      <c r="C78" s="85"/>
      <c r="D78" s="85"/>
      <c r="E78" s="86"/>
      <c r="F78" s="85"/>
      <c r="G78" s="85"/>
    </row>
    <row r="79" spans="1:8" ht="12.75" customHeight="1" x14ac:dyDescent="0.2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 x14ac:dyDescent="0.2">
      <c r="A80" s="64"/>
      <c r="B80" s="92"/>
      <c r="C80" s="78"/>
      <c r="D80" s="78"/>
      <c r="E80" s="94"/>
      <c r="F80" s="78"/>
      <c r="G80" s="85"/>
    </row>
    <row r="81" spans="1:7" ht="12.75" customHeight="1" x14ac:dyDescent="0.2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 x14ac:dyDescent="0.2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 x14ac:dyDescent="0.2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 x14ac:dyDescent="0.2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 x14ac:dyDescent="0.2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 x14ac:dyDescent="0.2">
      <c r="A86" s="91"/>
      <c r="B86" s="92"/>
      <c r="C86" s="85"/>
      <c r="D86" s="85"/>
      <c r="E86" s="86"/>
      <c r="F86" s="85"/>
      <c r="G86" s="85"/>
    </row>
    <row r="87" spans="1:7" ht="18" customHeight="1" x14ac:dyDescent="0.2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 x14ac:dyDescent="0.2">
      <c r="A88" s="91"/>
      <c r="B88" s="92"/>
      <c r="C88" s="85"/>
      <c r="D88" s="85"/>
      <c r="E88" s="86"/>
      <c r="F88" s="85"/>
      <c r="G88" s="85"/>
    </row>
    <row r="89" spans="1:7" ht="14.25" customHeight="1" x14ac:dyDescent="0.2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 x14ac:dyDescent="0.2">
      <c r="A90" s="102"/>
      <c r="B90" s="92"/>
      <c r="C90" s="78"/>
      <c r="D90" s="78"/>
      <c r="E90" s="94"/>
      <c r="F90" s="78"/>
      <c r="G90" s="85"/>
    </row>
    <row r="91" spans="1:7" ht="12.75" customHeight="1" x14ac:dyDescent="0.2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 x14ac:dyDescent="0.2">
      <c r="A92" s="64"/>
      <c r="B92" s="92"/>
      <c r="C92" s="78"/>
      <c r="D92" s="78"/>
      <c r="E92" s="94"/>
      <c r="F92" s="78"/>
      <c r="G92" s="85"/>
    </row>
    <row r="93" spans="1:7" ht="14.25" customHeight="1" x14ac:dyDescent="0.2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 x14ac:dyDescent="0.2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 x14ac:dyDescent="0.2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 x14ac:dyDescent="0.2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 x14ac:dyDescent="0.2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 x14ac:dyDescent="0.2">
      <c r="A98" s="64"/>
      <c r="B98" s="85"/>
      <c r="C98" s="85"/>
      <c r="D98" s="85"/>
      <c r="E98" s="86"/>
      <c r="F98" s="85"/>
      <c r="G98" s="85"/>
    </row>
    <row r="99" spans="1:8" ht="12.75" customHeight="1" x14ac:dyDescent="0.2">
      <c r="A99" s="64"/>
      <c r="B99" s="105"/>
      <c r="C99" s="85"/>
      <c r="D99" s="101"/>
      <c r="E99" s="86"/>
      <c r="F99" s="85"/>
      <c r="G99" s="85"/>
    </row>
    <row r="100" spans="1:8" s="182" customFormat="1" ht="17.25" x14ac:dyDescent="0.3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 x14ac:dyDescent="0.2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 x14ac:dyDescent="0.2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 x14ac:dyDescent="0.2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 x14ac:dyDescent="0.2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 x14ac:dyDescent="0.2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 x14ac:dyDescent="0.2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 x14ac:dyDescent="0.2">
      <c r="A107" s="64"/>
      <c r="B107" s="118"/>
      <c r="C107" s="118"/>
      <c r="D107" s="118"/>
      <c r="E107" s="118"/>
      <c r="F107" s="118"/>
      <c r="G107" s="103"/>
    </row>
    <row r="108" spans="1:8" ht="18" customHeight="1" x14ac:dyDescent="0.2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 x14ac:dyDescent="0.2">
      <c r="A109" s="91"/>
      <c r="B109" s="92"/>
      <c r="C109" s="85"/>
      <c r="D109" s="85"/>
      <c r="E109" s="86"/>
      <c r="F109" s="85"/>
      <c r="G109" s="78"/>
    </row>
    <row r="110" spans="1:8" ht="12.75" hidden="1" customHeight="1" x14ac:dyDescent="0.2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 x14ac:dyDescent="0.2">
      <c r="A111" s="91"/>
      <c r="B111" s="92"/>
      <c r="C111" s="85"/>
      <c r="D111" s="85"/>
      <c r="E111" s="86"/>
      <c r="F111" s="85"/>
      <c r="G111" s="78"/>
    </row>
    <row r="112" spans="1:8" ht="12.75" hidden="1" customHeight="1" x14ac:dyDescent="0.2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 x14ac:dyDescent="0.2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 x14ac:dyDescent="0.2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 x14ac:dyDescent="0.2">
      <c r="A115" s="91"/>
      <c r="B115" s="92"/>
      <c r="C115" s="85"/>
      <c r="D115" s="85"/>
      <c r="E115" s="86"/>
      <c r="F115" s="85"/>
      <c r="G115" s="78"/>
    </row>
    <row r="116" spans="1:7" ht="12.75" customHeight="1" x14ac:dyDescent="0.2">
      <c r="A116" s="91"/>
      <c r="B116" s="92"/>
      <c r="C116" s="85"/>
      <c r="D116" s="85"/>
      <c r="E116" s="86"/>
      <c r="F116" s="85"/>
      <c r="G116" s="78"/>
    </row>
    <row r="117" spans="1:7" ht="12.75" customHeight="1" x14ac:dyDescent="0.2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 x14ac:dyDescent="0.2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 x14ac:dyDescent="0.2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 x14ac:dyDescent="0.2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 x14ac:dyDescent="0.2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 x14ac:dyDescent="0.2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 x14ac:dyDescent="0.2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 x14ac:dyDescent="0.2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 x14ac:dyDescent="0.2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 x14ac:dyDescent="0.2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 x14ac:dyDescent="0.2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 x14ac:dyDescent="0.2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 x14ac:dyDescent="0.2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 x14ac:dyDescent="0.2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 x14ac:dyDescent="0.2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 x14ac:dyDescent="0.2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 x14ac:dyDescent="0.2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 x14ac:dyDescent="0.2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 x14ac:dyDescent="0.2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 x14ac:dyDescent="0.2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 x14ac:dyDescent="0.2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 x14ac:dyDescent="0.2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 x14ac:dyDescent="0.2">
      <c r="A139" s="93"/>
      <c r="B139" s="118"/>
      <c r="C139" s="118"/>
      <c r="D139" s="118"/>
      <c r="E139" s="118"/>
      <c r="F139" s="85"/>
      <c r="G139" s="78"/>
    </row>
    <row r="140" spans="1:10" ht="12.75" customHeight="1" x14ac:dyDescent="0.2">
      <c r="A140" s="93"/>
      <c r="B140" s="118"/>
      <c r="C140" s="118"/>
      <c r="D140" s="118"/>
      <c r="E140" s="118"/>
      <c r="F140" s="85"/>
      <c r="G140" s="78"/>
    </row>
    <row r="141" spans="1:10" ht="15" hidden="1" customHeight="1" x14ac:dyDescent="0.2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 x14ac:dyDescent="0.2">
      <c r="A142" s="131"/>
      <c r="B142" s="132"/>
      <c r="C142" s="139"/>
      <c r="D142" s="140"/>
      <c r="E142" s="139"/>
      <c r="F142" s="140"/>
    </row>
    <row r="143" spans="1:10" ht="18" hidden="1" customHeight="1" x14ac:dyDescent="0.2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 x14ac:dyDescent="0.2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 x14ac:dyDescent="0.2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 x14ac:dyDescent="0.2">
      <c r="A146" s="133"/>
      <c r="B146" s="142"/>
      <c r="C146" s="126"/>
      <c r="D146" s="143"/>
      <c r="E146" s="126"/>
      <c r="F146" s="143"/>
    </row>
    <row r="147" spans="1:8" ht="16.5" customHeight="1" x14ac:dyDescent="0.2">
      <c r="A147" s="127"/>
      <c r="B147" s="118"/>
      <c r="C147" s="118"/>
      <c r="D147" s="118"/>
      <c r="E147" s="118"/>
      <c r="F147" s="85"/>
      <c r="G147" s="130"/>
    </row>
    <row r="148" spans="1:8" s="182" customFormat="1" ht="17.25" x14ac:dyDescent="0.3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 x14ac:dyDescent="0.2">
      <c r="A149" s="93"/>
      <c r="B149" s="118"/>
      <c r="C149" s="118"/>
      <c r="D149" s="118"/>
      <c r="E149" s="118"/>
      <c r="F149" s="85"/>
      <c r="G149" s="78"/>
    </row>
    <row r="150" spans="1:8" ht="16.5" customHeight="1" x14ac:dyDescent="0.2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 x14ac:dyDescent="0.2">
      <c r="A151" s="127"/>
      <c r="B151" s="92"/>
      <c r="C151" s="85"/>
      <c r="D151" s="85"/>
      <c r="E151" s="86"/>
      <c r="F151" s="85"/>
      <c r="G151" s="130"/>
    </row>
    <row r="152" spans="1:8" ht="16.5" customHeight="1" x14ac:dyDescent="0.2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 x14ac:dyDescent="0.2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 x14ac:dyDescent="0.2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 x14ac:dyDescent="0.2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 x14ac:dyDescent="0.2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 x14ac:dyDescent="0.2">
      <c r="A157" s="127"/>
      <c r="B157" s="118"/>
      <c r="C157" s="118"/>
      <c r="D157" s="118"/>
      <c r="E157" s="118"/>
      <c r="F157" s="85"/>
      <c r="G157" s="130"/>
    </row>
    <row r="158" spans="1:8" ht="17.25" x14ac:dyDescent="0.2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7.25" x14ac:dyDescent="0.2">
      <c r="G161" s="164"/>
    </row>
    <row r="162" spans="6:7" ht="17.25" x14ac:dyDescent="0.2">
      <c r="G162" s="164"/>
    </row>
    <row r="163" spans="6:7" ht="17.25" x14ac:dyDescent="0.2">
      <c r="G163" s="164"/>
    </row>
    <row r="164" spans="6:7" ht="17.25" x14ac:dyDescent="0.2">
      <c r="G164" s="164"/>
    </row>
    <row r="165" spans="6:7" ht="17.25" x14ac:dyDescent="0.2">
      <c r="G165" s="164"/>
    </row>
    <row r="166" spans="6:7" ht="17.25" x14ac:dyDescent="0.2">
      <c r="F166" s="80"/>
      <c r="G166" s="164"/>
    </row>
    <row r="167" spans="6:7" ht="17.25" x14ac:dyDescent="0.2">
      <c r="G167" s="164"/>
    </row>
    <row r="168" spans="6:7" ht="17.25" x14ac:dyDescent="0.2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zoomScale="82" zoomScaleNormal="100" zoomScaleSheetLayoutView="82" workbookViewId="0">
      <selection activeCell="G154" sqref="G154"/>
    </sheetView>
  </sheetViews>
  <sheetFormatPr baseColWidth="10" defaultColWidth="11.42578125" defaultRowHeight="12.75" x14ac:dyDescent="0.2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0.25" customHeight="1" x14ac:dyDescent="0.2"/>
    <row r="2" spans="1:7" ht="20.25" customHeight="1" x14ac:dyDescent="0.2"/>
    <row r="3" spans="1:7" ht="27" customHeight="1" x14ac:dyDescent="0.2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 x14ac:dyDescent="0.2">
      <c r="A4" s="65"/>
      <c r="B4" s="65"/>
      <c r="C4" s="65"/>
      <c r="D4" s="65"/>
      <c r="E4" s="66"/>
      <c r="F4" s="65"/>
      <c r="G4" s="65"/>
    </row>
    <row r="5" spans="1:7" ht="18" customHeight="1" x14ac:dyDescent="0.2">
      <c r="B5" s="68"/>
      <c r="C5" s="69"/>
      <c r="D5" s="65"/>
      <c r="E5" s="66"/>
      <c r="F5" s="65"/>
    </row>
    <row r="6" spans="1:7" ht="18" customHeight="1" x14ac:dyDescent="0.2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 x14ac:dyDescent="0.2">
      <c r="B7" s="68" t="s">
        <v>65</v>
      </c>
      <c r="C7" s="30" t="str">
        <f>'R'!C10</f>
        <v>:22 EDUCACIÓN</v>
      </c>
      <c r="G7" s="33" t="s">
        <v>1</v>
      </c>
    </row>
    <row r="8" spans="1:7" ht="18" customHeight="1" x14ac:dyDescent="0.2">
      <c r="B8" s="29" t="s">
        <v>66</v>
      </c>
      <c r="C8" s="30" t="str">
        <f>'R'!C11</f>
        <v>:047 EDUCACIÓN BÁSICA</v>
      </c>
      <c r="G8" s="33"/>
    </row>
    <row r="9" spans="1:7" ht="18" customHeight="1" x14ac:dyDescent="0.2">
      <c r="B9" s="29" t="s">
        <v>67</v>
      </c>
      <c r="C9" s="30" t="str">
        <f>'R'!C12</f>
        <v>:EDUCACIÓN PRIMARIA SECUNDARIA</v>
      </c>
    </row>
    <row r="10" spans="1:7" ht="18" customHeight="1" x14ac:dyDescent="0.2">
      <c r="B10" s="29" t="s">
        <v>111</v>
      </c>
      <c r="C10" s="502" t="s">
        <v>654</v>
      </c>
      <c r="D10" s="502"/>
      <c r="E10" s="502"/>
      <c r="F10" s="502"/>
      <c r="G10" s="502"/>
    </row>
    <row r="11" spans="1:7" ht="24" customHeight="1" x14ac:dyDescent="0.2">
      <c r="B11" s="29"/>
      <c r="C11" s="502"/>
      <c r="D11" s="502"/>
      <c r="E11" s="502"/>
      <c r="F11" s="502"/>
      <c r="G11" s="502"/>
    </row>
    <row r="12" spans="1:7" ht="18" customHeight="1" x14ac:dyDescent="0.2">
      <c r="B12" s="29"/>
      <c r="C12" s="30"/>
      <c r="D12" s="65"/>
    </row>
    <row r="13" spans="1:7" ht="18" customHeight="1" thickBot="1" x14ac:dyDescent="0.25">
      <c r="B13" s="29"/>
      <c r="C13" s="30"/>
      <c r="D13" s="65"/>
    </row>
    <row r="14" spans="1:7" s="182" customFormat="1" ht="20.25" customHeight="1" thickBot="1" x14ac:dyDescent="0.25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 x14ac:dyDescent="0.2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 x14ac:dyDescent="0.2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 x14ac:dyDescent="0.2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 x14ac:dyDescent="0.2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 x14ac:dyDescent="0.25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 x14ac:dyDescent="0.2">
      <c r="B20" s="75"/>
      <c r="C20" s="75"/>
      <c r="D20" s="75"/>
      <c r="E20" s="75"/>
      <c r="F20" s="88"/>
      <c r="G20" s="65"/>
    </row>
    <row r="21" spans="1:10" ht="18" customHeight="1" x14ac:dyDescent="0.2">
      <c r="B21" s="75"/>
      <c r="C21" s="75"/>
      <c r="D21" s="75"/>
      <c r="E21" s="75"/>
      <c r="F21" s="88"/>
      <c r="G21" s="65"/>
    </row>
    <row r="22" spans="1:10" ht="18" customHeight="1" x14ac:dyDescent="0.2">
      <c r="B22" s="75"/>
      <c r="C22" s="75"/>
      <c r="D22" s="75"/>
      <c r="E22" s="75"/>
      <c r="F22" s="88"/>
      <c r="G22" s="65"/>
    </row>
    <row r="23" spans="1:10" ht="18" customHeight="1" x14ac:dyDescent="0.2">
      <c r="B23" s="75"/>
      <c r="C23" s="75"/>
      <c r="D23" s="75"/>
      <c r="E23" s="75"/>
      <c r="F23" s="88"/>
      <c r="G23" s="65"/>
    </row>
    <row r="24" spans="1:10" ht="18" customHeight="1" x14ac:dyDescent="0.2">
      <c r="B24" s="75"/>
      <c r="C24" s="75"/>
      <c r="D24" s="75"/>
      <c r="E24" s="75"/>
      <c r="F24" s="88"/>
      <c r="G24" s="65"/>
    </row>
    <row r="25" spans="1:10" ht="18" customHeight="1" x14ac:dyDescent="0.2">
      <c r="B25" s="75"/>
      <c r="C25" s="75"/>
      <c r="D25" s="75"/>
      <c r="E25" s="75"/>
      <c r="F25" s="88"/>
      <c r="G25" s="65"/>
    </row>
    <row r="26" spans="1:10" ht="18" customHeight="1" x14ac:dyDescent="0.2">
      <c r="A26" s="77"/>
      <c r="B26" s="77"/>
      <c r="C26" s="67"/>
      <c r="D26" s="78"/>
      <c r="E26" s="79"/>
      <c r="F26" s="67"/>
    </row>
    <row r="27" spans="1:10" ht="27" customHeight="1" x14ac:dyDescent="0.2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 x14ac:dyDescent="0.2">
      <c r="A28" s="230"/>
      <c r="B28" s="231"/>
      <c r="C28" s="232"/>
      <c r="D28" s="231"/>
      <c r="E28" s="233"/>
      <c r="F28" s="231"/>
      <c r="G28" s="231"/>
    </row>
    <row r="29" spans="1:10" ht="27" customHeight="1" x14ac:dyDescent="0.2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 x14ac:dyDescent="0.2">
      <c r="A30" s="335"/>
      <c r="B30" s="335"/>
      <c r="C30" s="335"/>
      <c r="D30" s="335"/>
      <c r="E30" s="335"/>
      <c r="F30" s="335"/>
      <c r="G30" s="335"/>
    </row>
    <row r="31" spans="1:10" ht="27" customHeight="1" x14ac:dyDescent="0.2">
      <c r="A31" s="335"/>
      <c r="B31" s="335"/>
      <c r="C31" s="335"/>
      <c r="D31" s="335"/>
      <c r="E31" s="335"/>
      <c r="F31" s="335"/>
      <c r="G31" s="335"/>
    </row>
    <row r="32" spans="1:10" ht="12.75" customHeight="1" x14ac:dyDescent="0.2">
      <c r="A32" s="123"/>
      <c r="B32" s="123"/>
      <c r="C32" s="124"/>
      <c r="D32" s="125"/>
      <c r="E32" s="126"/>
      <c r="F32" s="123"/>
      <c r="G32" s="123"/>
    </row>
    <row r="33" spans="1:8" s="182" customFormat="1" ht="17.25" x14ac:dyDescent="0.3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7.25" x14ac:dyDescent="0.3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 x14ac:dyDescent="0.2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 x14ac:dyDescent="0.2">
      <c r="A36" s="89"/>
      <c r="B36" s="90"/>
      <c r="C36" s="85"/>
      <c r="D36" s="85"/>
      <c r="E36" s="86"/>
      <c r="F36" s="85"/>
      <c r="G36" s="85"/>
    </row>
    <row r="37" spans="1:8" ht="12.75" customHeight="1" x14ac:dyDescent="0.2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 x14ac:dyDescent="0.2">
      <c r="A38" s="93"/>
      <c r="B38" s="78"/>
      <c r="C38" s="85"/>
      <c r="D38" s="85"/>
      <c r="E38" s="86"/>
      <c r="F38" s="85"/>
      <c r="G38" s="85"/>
    </row>
    <row r="39" spans="1:8" ht="12.75" customHeight="1" x14ac:dyDescent="0.2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 x14ac:dyDescent="0.2">
      <c r="A40" s="64"/>
      <c r="B40" s="92"/>
      <c r="C40" s="78"/>
      <c r="D40" s="78"/>
      <c r="E40" s="94"/>
      <c r="F40" s="78"/>
      <c r="G40" s="85"/>
    </row>
    <row r="41" spans="1:8" ht="12.75" customHeight="1" x14ac:dyDescent="0.2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 x14ac:dyDescent="0.2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 x14ac:dyDescent="0.2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 x14ac:dyDescent="0.2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 x14ac:dyDescent="0.2">
      <c r="A45" s="64"/>
      <c r="B45" s="85"/>
      <c r="C45" s="85"/>
      <c r="D45" s="85"/>
      <c r="E45" s="86"/>
      <c r="F45" s="85"/>
      <c r="G45" s="85"/>
    </row>
    <row r="46" spans="1:8" ht="15.75" customHeight="1" x14ac:dyDescent="0.2">
      <c r="A46" s="64"/>
      <c r="B46" s="85"/>
      <c r="C46" s="85"/>
      <c r="D46" s="85"/>
      <c r="E46" s="86"/>
      <c r="F46" s="85"/>
      <c r="G46" s="85"/>
    </row>
    <row r="47" spans="1:8" ht="18" customHeight="1" x14ac:dyDescent="0.2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 x14ac:dyDescent="0.2">
      <c r="A48" s="89"/>
      <c r="B48" s="90"/>
      <c r="C48" s="85"/>
      <c r="D48" s="85"/>
      <c r="E48" s="86"/>
      <c r="F48" s="85"/>
      <c r="G48" s="85"/>
    </row>
    <row r="49" spans="1:7" ht="12.75" customHeight="1" x14ac:dyDescent="0.2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 x14ac:dyDescent="0.2">
      <c r="A50" s="91"/>
      <c r="B50" s="92"/>
      <c r="C50" s="85"/>
      <c r="D50" s="85"/>
      <c r="E50" s="86"/>
      <c r="F50" s="85"/>
      <c r="G50" s="85"/>
    </row>
    <row r="51" spans="1:7" ht="12.75" customHeight="1" x14ac:dyDescent="0.2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 x14ac:dyDescent="0.2">
      <c r="A52" s="93"/>
      <c r="B52" s="92"/>
      <c r="C52" s="78"/>
      <c r="D52" s="78"/>
      <c r="E52" s="94"/>
      <c r="F52" s="85"/>
      <c r="G52" s="85"/>
    </row>
    <row r="53" spans="1:7" ht="12.75" customHeight="1" x14ac:dyDescent="0.2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 x14ac:dyDescent="0.2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 x14ac:dyDescent="0.2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 x14ac:dyDescent="0.2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 x14ac:dyDescent="0.2">
      <c r="A57" s="64"/>
      <c r="B57" s="101"/>
      <c r="C57" s="101"/>
      <c r="D57" s="101"/>
      <c r="E57" s="86"/>
      <c r="F57" s="85"/>
      <c r="G57" s="85"/>
    </row>
    <row r="58" spans="1:7" ht="13.5" customHeight="1" x14ac:dyDescent="0.2">
      <c r="A58" s="64"/>
      <c r="B58" s="101"/>
      <c r="C58" s="85"/>
      <c r="D58" s="101"/>
      <c r="E58" s="86"/>
      <c r="F58" s="85"/>
      <c r="G58" s="85"/>
    </row>
    <row r="59" spans="1:7" ht="12.75" customHeight="1" x14ac:dyDescent="0.2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 x14ac:dyDescent="0.2">
      <c r="A60" s="91"/>
      <c r="B60" s="92"/>
      <c r="C60" s="85"/>
      <c r="D60" s="85"/>
      <c r="E60" s="86"/>
      <c r="F60" s="85"/>
      <c r="G60" s="85"/>
    </row>
    <row r="61" spans="1:7" ht="12.75" customHeight="1" x14ac:dyDescent="0.2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 x14ac:dyDescent="0.2">
      <c r="A62" s="64"/>
      <c r="B62" s="92"/>
      <c r="C62" s="78"/>
      <c r="D62" s="78"/>
      <c r="E62" s="94"/>
      <c r="F62" s="85"/>
      <c r="G62" s="85"/>
    </row>
    <row r="63" spans="1:7" ht="12.75" customHeight="1" x14ac:dyDescent="0.2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 x14ac:dyDescent="0.2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 x14ac:dyDescent="0.2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 x14ac:dyDescent="0.2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 x14ac:dyDescent="0.2">
      <c r="A67" s="64"/>
      <c r="B67" s="101"/>
      <c r="C67" s="85"/>
      <c r="D67" s="101"/>
      <c r="E67" s="86"/>
      <c r="F67" s="85"/>
      <c r="G67" s="85"/>
    </row>
    <row r="68" spans="1:7" ht="18" customHeight="1" x14ac:dyDescent="0.2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 x14ac:dyDescent="0.2">
      <c r="A69" s="91"/>
      <c r="B69" s="92"/>
      <c r="C69" s="85"/>
      <c r="D69" s="85"/>
      <c r="E69" s="86"/>
      <c r="F69" s="85"/>
      <c r="G69" s="85"/>
    </row>
    <row r="70" spans="1:7" ht="12.75" customHeight="1" x14ac:dyDescent="0.2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 x14ac:dyDescent="0.2">
      <c r="A71" s="93"/>
      <c r="B71" s="103"/>
      <c r="C71" s="85"/>
      <c r="D71" s="85"/>
      <c r="E71" s="86"/>
      <c r="F71" s="85"/>
      <c r="G71" s="85"/>
    </row>
    <row r="72" spans="1:7" ht="12.75" customHeight="1" x14ac:dyDescent="0.2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 x14ac:dyDescent="0.2">
      <c r="A73" s="64"/>
      <c r="B73" s="92"/>
      <c r="C73" s="78"/>
      <c r="D73" s="78"/>
      <c r="E73" s="94"/>
      <c r="F73" s="78"/>
      <c r="G73" s="85"/>
    </row>
    <row r="74" spans="1:7" ht="12.75" customHeight="1" x14ac:dyDescent="0.2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 x14ac:dyDescent="0.2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 x14ac:dyDescent="0.2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 x14ac:dyDescent="0.2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 x14ac:dyDescent="0.2">
      <c r="A78" s="91"/>
      <c r="B78" s="92"/>
      <c r="C78" s="85"/>
      <c r="D78" s="85"/>
      <c r="E78" s="86"/>
      <c r="F78" s="85"/>
      <c r="G78" s="85"/>
    </row>
    <row r="79" spans="1:7" ht="12.75" customHeight="1" x14ac:dyDescent="0.2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 x14ac:dyDescent="0.2">
      <c r="A80" s="93"/>
      <c r="B80" s="103"/>
      <c r="C80" s="85"/>
      <c r="D80" s="85"/>
      <c r="E80" s="86"/>
      <c r="F80" s="85"/>
      <c r="G80" s="85"/>
    </row>
    <row r="81" spans="1:7" ht="12.75" customHeight="1" x14ac:dyDescent="0.2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 x14ac:dyDescent="0.2">
      <c r="A82" s="64"/>
      <c r="B82" s="92"/>
      <c r="C82" s="78"/>
      <c r="D82" s="78"/>
      <c r="E82" s="94"/>
      <c r="F82" s="78"/>
      <c r="G82" s="85"/>
    </row>
    <row r="83" spans="1:7" ht="12.75" customHeight="1" x14ac:dyDescent="0.2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 x14ac:dyDescent="0.2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 x14ac:dyDescent="0.2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 x14ac:dyDescent="0.2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 x14ac:dyDescent="0.2">
      <c r="A87" s="91"/>
      <c r="B87" s="92"/>
      <c r="C87" s="85"/>
      <c r="D87" s="85"/>
      <c r="E87" s="86"/>
      <c r="F87" s="85"/>
      <c r="G87" s="85"/>
    </row>
    <row r="88" spans="1:7" ht="18" customHeight="1" x14ac:dyDescent="0.2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 x14ac:dyDescent="0.2">
      <c r="A89" s="91"/>
      <c r="B89" s="92"/>
      <c r="C89" s="85"/>
      <c r="D89" s="85"/>
      <c r="E89" s="86"/>
      <c r="F89" s="85"/>
      <c r="G89" s="85"/>
    </row>
    <row r="90" spans="1:7" ht="14.25" customHeight="1" x14ac:dyDescent="0.2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 x14ac:dyDescent="0.2">
      <c r="A91" s="102"/>
      <c r="B91" s="92"/>
      <c r="C91" s="78"/>
      <c r="D91" s="78"/>
      <c r="E91" s="94"/>
      <c r="F91" s="78"/>
      <c r="G91" s="85"/>
    </row>
    <row r="92" spans="1:7" ht="12.75" customHeight="1" x14ac:dyDescent="0.2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 x14ac:dyDescent="0.2">
      <c r="A93" s="64"/>
      <c r="B93" s="92"/>
      <c r="C93" s="78"/>
      <c r="D93" s="78"/>
      <c r="E93" s="94"/>
      <c r="F93" s="78"/>
      <c r="G93" s="85"/>
    </row>
    <row r="94" spans="1:7" ht="14.25" customHeight="1" x14ac:dyDescent="0.2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 x14ac:dyDescent="0.2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 x14ac:dyDescent="0.2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 x14ac:dyDescent="0.2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 x14ac:dyDescent="0.2">
      <c r="A98" s="64"/>
      <c r="B98" s="85"/>
      <c r="C98" s="85"/>
      <c r="D98" s="85"/>
      <c r="E98" s="86"/>
      <c r="F98" s="85"/>
      <c r="G98" s="85"/>
    </row>
    <row r="99" spans="1:8" s="182" customFormat="1" ht="17.25" x14ac:dyDescent="0.3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 x14ac:dyDescent="0.2">
      <c r="A100" s="91"/>
      <c r="B100" s="92"/>
      <c r="C100" s="85"/>
      <c r="D100" s="85"/>
      <c r="E100" s="86"/>
      <c r="F100" s="85"/>
      <c r="G100" s="85"/>
    </row>
    <row r="101" spans="1:8" ht="12.75" customHeight="1" x14ac:dyDescent="0.2">
      <c r="A101" s="64"/>
      <c r="B101" s="85"/>
      <c r="C101" s="85"/>
      <c r="D101" s="85"/>
      <c r="E101" s="86"/>
      <c r="F101" s="85"/>
      <c r="G101" s="85"/>
    </row>
    <row r="102" spans="1:8" ht="15" customHeight="1" x14ac:dyDescent="0.2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 x14ac:dyDescent="0.2">
      <c r="A103" s="131"/>
      <c r="B103" s="132"/>
      <c r="C103" s="139"/>
      <c r="D103" s="140"/>
      <c r="E103" s="139"/>
      <c r="F103" s="140"/>
    </row>
    <row r="104" spans="1:8" ht="18" customHeight="1" x14ac:dyDescent="0.2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 x14ac:dyDescent="0.2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 x14ac:dyDescent="0.2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 x14ac:dyDescent="0.2">
      <c r="A107" s="133"/>
      <c r="B107" s="142"/>
      <c r="C107" s="126"/>
      <c r="D107" s="143"/>
      <c r="E107" s="126"/>
      <c r="F107" s="143"/>
    </row>
    <row r="108" spans="1:8" ht="18" customHeight="1" x14ac:dyDescent="0.2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 x14ac:dyDescent="0.2">
      <c r="A109" s="91"/>
      <c r="B109" s="92"/>
      <c r="C109" s="85"/>
      <c r="D109" s="85"/>
      <c r="E109" s="86"/>
      <c r="F109" s="85"/>
      <c r="G109" s="78"/>
    </row>
    <row r="110" spans="1:8" ht="12.75" customHeight="1" x14ac:dyDescent="0.2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 x14ac:dyDescent="0.2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 x14ac:dyDescent="0.2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 x14ac:dyDescent="0.2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 x14ac:dyDescent="0.2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 x14ac:dyDescent="0.2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 x14ac:dyDescent="0.2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 x14ac:dyDescent="0.2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 x14ac:dyDescent="0.2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 x14ac:dyDescent="0.2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 x14ac:dyDescent="0.2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 x14ac:dyDescent="0.2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 x14ac:dyDescent="0.2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 x14ac:dyDescent="0.2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 x14ac:dyDescent="0.2">
      <c r="A124" s="127"/>
      <c r="B124" s="91"/>
      <c r="C124" s="92"/>
      <c r="D124" s="144"/>
      <c r="E124" s="145"/>
      <c r="F124" s="129"/>
      <c r="G124" s="130"/>
    </row>
    <row r="125" spans="1:8" ht="12.75" customHeight="1" x14ac:dyDescent="0.2">
      <c r="A125" s="64"/>
      <c r="B125" s="118"/>
      <c r="C125" s="118"/>
      <c r="D125" s="118"/>
      <c r="E125" s="118"/>
      <c r="F125" s="85"/>
      <c r="G125" s="78"/>
    </row>
    <row r="126" spans="1:8" s="182" customFormat="1" ht="17.25" x14ac:dyDescent="0.3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 x14ac:dyDescent="0.2">
      <c r="A127" s="127"/>
      <c r="B127" s="154"/>
      <c r="C127" s="146"/>
      <c r="D127" s="146"/>
      <c r="E127" s="145"/>
      <c r="F127" s="129"/>
      <c r="G127" s="130"/>
    </row>
    <row r="128" spans="1:8" ht="13.5" hidden="1" customHeight="1" x14ac:dyDescent="0.2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 x14ac:dyDescent="0.2">
      <c r="A129" s="131"/>
      <c r="B129" s="147"/>
      <c r="C129" s="148"/>
      <c r="D129" s="148"/>
      <c r="E129" s="149"/>
      <c r="F129" s="148"/>
    </row>
    <row r="130" spans="1:7" ht="12.75" hidden="1" customHeight="1" x14ac:dyDescent="0.2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 x14ac:dyDescent="0.2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 x14ac:dyDescent="0.2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 x14ac:dyDescent="0.2">
      <c r="A133" s="133"/>
      <c r="B133" s="81"/>
      <c r="C133" s="81"/>
      <c r="D133" s="81"/>
      <c r="E133" s="81"/>
      <c r="F133" s="153"/>
    </row>
    <row r="134" spans="1:7" ht="16.5" customHeight="1" x14ac:dyDescent="0.2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 x14ac:dyDescent="0.2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 x14ac:dyDescent="0.2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 x14ac:dyDescent="0.2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 x14ac:dyDescent="0.2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 x14ac:dyDescent="0.2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 x14ac:dyDescent="0.2">
      <c r="A140" s="133"/>
      <c r="B140" s="81"/>
      <c r="C140" s="81"/>
      <c r="D140" s="81"/>
      <c r="E140" s="81"/>
      <c r="F140" s="153"/>
    </row>
    <row r="141" spans="1:7" ht="12.75" customHeight="1" x14ac:dyDescent="0.2">
      <c r="A141" s="93"/>
      <c r="B141" s="118"/>
      <c r="C141" s="118"/>
      <c r="D141" s="118"/>
      <c r="E141" s="118"/>
      <c r="F141" s="85"/>
      <c r="G141" s="78"/>
    </row>
    <row r="142" spans="1:7" ht="12.75" customHeight="1" x14ac:dyDescent="0.2">
      <c r="A142" s="93"/>
      <c r="B142" s="118"/>
      <c r="C142" s="118"/>
      <c r="D142" s="118"/>
      <c r="E142" s="118"/>
      <c r="G142" s="78"/>
    </row>
    <row r="143" spans="1:7" ht="15" hidden="1" customHeight="1" x14ac:dyDescent="0.2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 x14ac:dyDescent="0.2">
      <c r="A144" s="91"/>
      <c r="B144" s="92"/>
      <c r="C144" s="85"/>
      <c r="D144" s="85"/>
      <c r="E144" s="86"/>
      <c r="F144" s="85"/>
      <c r="G144" s="78"/>
    </row>
    <row r="145" spans="1:9" ht="12.75" hidden="1" customHeight="1" x14ac:dyDescent="0.2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 x14ac:dyDescent="0.2">
      <c r="A146" s="91"/>
      <c r="B146" s="92"/>
      <c r="C146" s="85"/>
      <c r="D146" s="85"/>
      <c r="E146" s="86"/>
      <c r="F146" s="85"/>
      <c r="G146" s="78"/>
    </row>
    <row r="147" spans="1:9" ht="12.75" hidden="1" customHeight="1" x14ac:dyDescent="0.2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 x14ac:dyDescent="0.2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 x14ac:dyDescent="0.2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 x14ac:dyDescent="0.2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 x14ac:dyDescent="0.2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 x14ac:dyDescent="0.2">
      <c r="A152" s="93"/>
      <c r="B152" s="118"/>
      <c r="C152" s="118"/>
      <c r="D152" s="118"/>
      <c r="E152" s="118"/>
      <c r="F152" s="85"/>
      <c r="G152" s="78"/>
    </row>
    <row r="153" spans="1:9" ht="12.75" hidden="1" customHeight="1" x14ac:dyDescent="0.2">
      <c r="A153" s="93"/>
      <c r="B153" s="118"/>
      <c r="C153" s="118"/>
      <c r="D153" s="118"/>
      <c r="E153" s="118"/>
      <c r="F153" s="85"/>
      <c r="G153" s="78"/>
    </row>
    <row r="154" spans="1:9" ht="17.25" x14ac:dyDescent="0.2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RESUMEN!G30</f>
        <v>380539.29333333333</v>
      </c>
    </row>
    <row r="157" spans="1:9" ht="17.25" x14ac:dyDescent="0.2">
      <c r="G157" s="164"/>
    </row>
    <row r="158" spans="1:9" ht="17.25" x14ac:dyDescent="0.2">
      <c r="G158" s="164"/>
    </row>
    <row r="159" spans="1:9" ht="17.25" x14ac:dyDescent="0.2">
      <c r="A159" s="262" t="s">
        <v>278</v>
      </c>
      <c r="B159" s="262" t="s">
        <v>270</v>
      </c>
      <c r="C159" s="263" t="s">
        <v>272</v>
      </c>
      <c r="G159" s="164"/>
    </row>
    <row r="160" spans="1:9" ht="17.25" x14ac:dyDescent="0.2">
      <c r="A160" s="261">
        <v>1</v>
      </c>
      <c r="B160" s="260" t="s">
        <v>271</v>
      </c>
      <c r="C160" s="260" t="s">
        <v>273</v>
      </c>
      <c r="G160" s="164"/>
    </row>
    <row r="161" spans="1:7" ht="17.25" x14ac:dyDescent="0.2">
      <c r="A161" s="261">
        <v>2</v>
      </c>
      <c r="B161" s="260" t="s">
        <v>274</v>
      </c>
      <c r="C161" s="260" t="s">
        <v>275</v>
      </c>
      <c r="G161" s="164"/>
    </row>
    <row r="162" spans="1:7" ht="17.25" x14ac:dyDescent="0.2">
      <c r="A162" s="261">
        <v>3</v>
      </c>
      <c r="B162" s="260" t="s">
        <v>276</v>
      </c>
      <c r="C162" s="260" t="s">
        <v>277</v>
      </c>
      <c r="F162" s="80"/>
      <c r="G162" s="164"/>
    </row>
    <row r="163" spans="1:7" x14ac:dyDescent="0.2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2578125" defaultRowHeight="12.75" x14ac:dyDescent="0.2"/>
  <cols>
    <col min="1" max="1" width="7.5703125" style="70" customWidth="1"/>
    <col min="2" max="2" width="57" style="70" customWidth="1"/>
    <col min="3" max="3" width="18" style="70" customWidth="1"/>
    <col min="4" max="4" width="15.7109375" style="70" customWidth="1"/>
    <col min="5" max="5" width="11.140625" style="73" customWidth="1"/>
    <col min="6" max="6" width="14.7109375" style="70" customWidth="1"/>
    <col min="7" max="7" width="16.85546875" style="70" customWidth="1"/>
    <col min="8" max="16384" width="11.42578125" style="63"/>
  </cols>
  <sheetData>
    <row r="1" spans="1:7" ht="27" customHeight="1" x14ac:dyDescent="0.2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 x14ac:dyDescent="0.2">
      <c r="A2" s="65"/>
      <c r="B2" s="65"/>
      <c r="C2" s="65"/>
      <c r="D2" s="65"/>
      <c r="E2" s="66"/>
      <c r="F2" s="65"/>
      <c r="G2" s="65"/>
    </row>
    <row r="3" spans="1:7" ht="18" customHeight="1" x14ac:dyDescent="0.2">
      <c r="B3" s="68"/>
      <c r="C3" s="69"/>
      <c r="D3" s="65"/>
      <c r="E3" s="66"/>
      <c r="F3" s="65"/>
    </row>
    <row r="4" spans="1:7" ht="18" customHeight="1" x14ac:dyDescent="0.2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 x14ac:dyDescent="0.2">
      <c r="B5" s="68" t="s">
        <v>64</v>
      </c>
      <c r="C5" s="31" t="e">
        <f>'R'!#REF!</f>
        <v>#REF!</v>
      </c>
      <c r="G5" s="33" t="s">
        <v>1</v>
      </c>
    </row>
    <row r="6" spans="1:7" ht="18" customHeight="1" x14ac:dyDescent="0.2">
      <c r="B6" s="68" t="s">
        <v>65</v>
      </c>
      <c r="C6" s="30" t="str">
        <f>'R'!C10</f>
        <v>:22 EDUCACIÓN</v>
      </c>
      <c r="G6" s="33" t="s">
        <v>1</v>
      </c>
    </row>
    <row r="7" spans="1:7" ht="18" customHeight="1" x14ac:dyDescent="0.2">
      <c r="B7" s="29" t="s">
        <v>66</v>
      </c>
      <c r="C7" s="30" t="str">
        <f>'R'!C11</f>
        <v>:047 EDUCACIÓN BÁSICA</v>
      </c>
      <c r="G7" s="33"/>
    </row>
    <row r="8" spans="1:7" ht="18" customHeight="1" x14ac:dyDescent="0.2">
      <c r="B8" s="29" t="s">
        <v>67</v>
      </c>
      <c r="C8" s="30" t="str">
        <f>'R'!C12</f>
        <v>:EDUCACIÓN PRIMARIA SECUNDARIA</v>
      </c>
    </row>
    <row r="9" spans="1:7" ht="18" customHeight="1" x14ac:dyDescent="0.2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 x14ac:dyDescent="0.2">
      <c r="B10" s="29"/>
      <c r="C10" s="502"/>
      <c r="D10" s="502"/>
      <c r="E10" s="502"/>
      <c r="F10" s="502"/>
      <c r="G10" s="502"/>
    </row>
    <row r="11" spans="1:7" ht="18" customHeight="1" x14ac:dyDescent="0.2">
      <c r="B11" s="29"/>
      <c r="C11" s="30"/>
      <c r="D11" s="65"/>
    </row>
    <row r="12" spans="1:7" ht="18" customHeight="1" thickBot="1" x14ac:dyDescent="0.25">
      <c r="B12" s="29"/>
      <c r="C12" s="30"/>
      <c r="D12" s="65"/>
    </row>
    <row r="13" spans="1:7" s="182" customFormat="1" ht="20.25" customHeight="1" thickBot="1" x14ac:dyDescent="0.25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 x14ac:dyDescent="0.2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 x14ac:dyDescent="0.2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 x14ac:dyDescent="0.2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 x14ac:dyDescent="0.2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 x14ac:dyDescent="0.25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 x14ac:dyDescent="0.2">
      <c r="B19" s="75"/>
      <c r="C19" s="75"/>
      <c r="D19" s="75"/>
      <c r="E19" s="75"/>
      <c r="F19" s="88"/>
      <c r="G19" s="65"/>
    </row>
    <row r="20" spans="1:9" ht="18" customHeight="1" x14ac:dyDescent="0.2">
      <c r="B20" s="75"/>
      <c r="C20" s="75"/>
      <c r="D20" s="75"/>
      <c r="E20" s="75"/>
      <c r="F20" s="88"/>
      <c r="G20" s="65"/>
    </row>
    <row r="21" spans="1:9" ht="18" customHeight="1" x14ac:dyDescent="0.2">
      <c r="A21" s="77"/>
      <c r="B21" s="77"/>
      <c r="C21" s="67"/>
      <c r="D21" s="78"/>
      <c r="E21" s="79"/>
      <c r="F21" s="67"/>
    </row>
    <row r="22" spans="1:9" ht="27" customHeight="1" x14ac:dyDescent="0.2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 x14ac:dyDescent="0.2">
      <c r="A23" s="230"/>
      <c r="B23" s="231"/>
      <c r="C23" s="232"/>
      <c r="D23" s="231"/>
      <c r="E23" s="233"/>
      <c r="F23" s="231"/>
      <c r="G23" s="231"/>
    </row>
    <row r="24" spans="1:9" ht="27" customHeight="1" x14ac:dyDescent="0.2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 x14ac:dyDescent="0.2">
      <c r="A25" s="123"/>
      <c r="B25" s="123"/>
      <c r="C25" s="124"/>
      <c r="D25" s="125"/>
      <c r="E25" s="126"/>
      <c r="F25" s="123"/>
      <c r="G25" s="123"/>
    </row>
    <row r="26" spans="1:9" s="182" customFormat="1" ht="17.25" x14ac:dyDescent="0.3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 x14ac:dyDescent="0.2">
      <c r="A27" s="77"/>
      <c r="B27" s="77"/>
      <c r="C27" s="67"/>
      <c r="D27" s="78"/>
      <c r="E27" s="79"/>
      <c r="F27" s="67"/>
    </row>
    <row r="28" spans="1:9" ht="18" customHeight="1" x14ac:dyDescent="0.2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 x14ac:dyDescent="0.2">
      <c r="A29" s="89"/>
      <c r="B29" s="90"/>
      <c r="C29" s="85"/>
      <c r="D29" s="85"/>
      <c r="E29" s="86"/>
      <c r="F29" s="85"/>
      <c r="G29" s="85"/>
    </row>
    <row r="30" spans="1:9" ht="12.75" customHeight="1" x14ac:dyDescent="0.2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 x14ac:dyDescent="0.2">
      <c r="A31" s="93"/>
      <c r="B31" s="78"/>
      <c r="C31" s="85"/>
      <c r="D31" s="85"/>
      <c r="E31" s="86"/>
      <c r="F31" s="85"/>
      <c r="G31" s="85"/>
    </row>
    <row r="32" spans="1:9" ht="12.75" customHeight="1" x14ac:dyDescent="0.2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 x14ac:dyDescent="0.2">
      <c r="A33" s="64"/>
      <c r="B33" s="92"/>
      <c r="C33" s="78"/>
      <c r="D33" s="78"/>
      <c r="E33" s="94"/>
      <c r="F33" s="78"/>
      <c r="G33" s="85"/>
    </row>
    <row r="34" spans="1:9" ht="12.75" customHeight="1" x14ac:dyDescent="0.2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 x14ac:dyDescent="0.2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 x14ac:dyDescent="0.2">
      <c r="A36" s="64"/>
      <c r="B36" s="117"/>
      <c r="C36" s="99"/>
      <c r="D36" s="99"/>
      <c r="E36" s="99"/>
      <c r="F36" s="97"/>
      <c r="G36" s="85"/>
    </row>
    <row r="37" spans="1:9" ht="12.75" customHeight="1" x14ac:dyDescent="0.2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 x14ac:dyDescent="0.2">
      <c r="A38" s="64"/>
      <c r="B38" s="85"/>
      <c r="C38" s="85"/>
      <c r="D38" s="85"/>
      <c r="E38" s="86"/>
      <c r="F38" s="85"/>
      <c r="G38" s="85"/>
      <c r="I38" s="189"/>
    </row>
    <row r="39" spans="1:9" ht="15.75" customHeight="1" x14ac:dyDescent="0.2">
      <c r="A39" s="64"/>
      <c r="B39" s="85"/>
      <c r="C39" s="85"/>
      <c r="D39" s="85"/>
      <c r="E39" s="86"/>
      <c r="F39" s="85"/>
      <c r="G39" s="85"/>
    </row>
    <row r="40" spans="1:9" ht="18" customHeight="1" x14ac:dyDescent="0.2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 x14ac:dyDescent="0.2">
      <c r="A41" s="89"/>
      <c r="B41" s="90"/>
      <c r="C41" s="85"/>
      <c r="D41" s="85"/>
      <c r="E41" s="86"/>
      <c r="F41" s="85"/>
      <c r="G41" s="85"/>
    </row>
    <row r="42" spans="1:9" ht="12.75" customHeight="1" x14ac:dyDescent="0.2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 x14ac:dyDescent="0.2">
      <c r="A43" s="91"/>
      <c r="B43" s="92"/>
      <c r="C43" s="85"/>
      <c r="D43" s="85"/>
      <c r="E43" s="86"/>
      <c r="F43" s="85"/>
      <c r="G43" s="85"/>
    </row>
    <row r="44" spans="1:9" ht="12.75" customHeight="1" x14ac:dyDescent="0.2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 x14ac:dyDescent="0.2">
      <c r="A45" s="93"/>
      <c r="B45" s="92"/>
      <c r="C45" s="78"/>
      <c r="D45" s="78"/>
      <c r="E45" s="94"/>
      <c r="F45" s="85"/>
      <c r="G45" s="85"/>
    </row>
    <row r="46" spans="1:9" ht="12.75" customHeight="1" x14ac:dyDescent="0.2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 x14ac:dyDescent="0.2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 x14ac:dyDescent="0.2">
      <c r="A48" s="64"/>
      <c r="B48" s="117"/>
      <c r="C48" s="99"/>
      <c r="D48" s="99"/>
      <c r="E48" s="99"/>
      <c r="F48" s="97"/>
      <c r="G48" s="85"/>
      <c r="I48" s="189"/>
    </row>
    <row r="49" spans="1:9" ht="12.75" customHeight="1" x14ac:dyDescent="0.2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 x14ac:dyDescent="0.2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 x14ac:dyDescent="0.2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 x14ac:dyDescent="0.2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 x14ac:dyDescent="0.2">
      <c r="A53" s="91"/>
      <c r="B53" s="92"/>
      <c r="C53" s="85"/>
      <c r="D53" s="85"/>
      <c r="E53" s="86"/>
      <c r="F53" s="85"/>
      <c r="G53" s="85"/>
      <c r="I53" s="189"/>
    </row>
    <row r="54" spans="1:9" ht="12.75" customHeight="1" x14ac:dyDescent="0.2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 x14ac:dyDescent="0.2">
      <c r="A55" s="64"/>
      <c r="B55" s="92"/>
      <c r="C55" s="78"/>
      <c r="D55" s="78"/>
      <c r="E55" s="94"/>
      <c r="F55" s="85"/>
      <c r="G55" s="85"/>
    </row>
    <row r="56" spans="1:9" ht="12.75" customHeight="1" x14ac:dyDescent="0.2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 x14ac:dyDescent="0.2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 x14ac:dyDescent="0.2">
      <c r="A58" s="64"/>
      <c r="B58" s="117"/>
      <c r="C58" s="99"/>
      <c r="D58" s="99"/>
      <c r="E58" s="99"/>
      <c r="F58" s="97"/>
      <c r="G58" s="85"/>
    </row>
    <row r="59" spans="1:9" ht="12.75" customHeight="1" x14ac:dyDescent="0.2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 x14ac:dyDescent="0.2">
      <c r="A60" s="64"/>
      <c r="B60" s="101"/>
      <c r="C60" s="85"/>
      <c r="D60" s="101"/>
      <c r="E60" s="86"/>
      <c r="F60" s="85"/>
      <c r="G60" s="85"/>
    </row>
    <row r="61" spans="1:9" ht="18" customHeight="1" x14ac:dyDescent="0.2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 x14ac:dyDescent="0.2">
      <c r="A62" s="91"/>
      <c r="B62" s="92"/>
      <c r="C62" s="85"/>
      <c r="D62" s="85"/>
      <c r="E62" s="86"/>
      <c r="F62" s="85"/>
      <c r="G62" s="85"/>
    </row>
    <row r="63" spans="1:9" ht="12.75" customHeight="1" x14ac:dyDescent="0.2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 x14ac:dyDescent="0.2">
      <c r="A64" s="93"/>
      <c r="B64" s="103"/>
      <c r="C64" s="85"/>
      <c r="D64" s="85"/>
      <c r="E64" s="86"/>
      <c r="F64" s="85"/>
      <c r="G64" s="85"/>
    </row>
    <row r="65" spans="1:7" ht="12.75" customHeight="1" x14ac:dyDescent="0.2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 x14ac:dyDescent="0.2">
      <c r="A66" s="64"/>
      <c r="B66" s="92"/>
      <c r="C66" s="78"/>
      <c r="D66" s="78"/>
      <c r="E66" s="94"/>
      <c r="F66" s="78"/>
      <c r="G66" s="85"/>
    </row>
    <row r="67" spans="1:7" ht="12.75" customHeight="1" x14ac:dyDescent="0.2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 x14ac:dyDescent="0.2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 x14ac:dyDescent="0.2">
      <c r="A69" s="67"/>
      <c r="B69" s="117"/>
      <c r="C69" s="99"/>
      <c r="D69" s="99"/>
      <c r="E69" s="99"/>
      <c r="F69" s="97"/>
      <c r="G69" s="85"/>
    </row>
    <row r="70" spans="1:7" ht="12.75" customHeight="1" x14ac:dyDescent="0.2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 x14ac:dyDescent="0.2">
      <c r="A71" s="91"/>
      <c r="B71" s="92"/>
      <c r="C71" s="85"/>
      <c r="D71" s="85"/>
      <c r="E71" s="86"/>
      <c r="F71" s="85"/>
      <c r="G71" s="85"/>
    </row>
    <row r="72" spans="1:7" ht="12.75" customHeight="1" x14ac:dyDescent="0.2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 x14ac:dyDescent="0.2">
      <c r="A73" s="93"/>
      <c r="B73" s="103"/>
      <c r="C73" s="85"/>
      <c r="D73" s="85"/>
      <c r="E73" s="86"/>
      <c r="F73" s="85"/>
      <c r="G73" s="85"/>
    </row>
    <row r="74" spans="1:7" ht="12.75" customHeight="1" x14ac:dyDescent="0.2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 x14ac:dyDescent="0.2">
      <c r="A75" s="64"/>
      <c r="B75" s="92"/>
      <c r="C75" s="78"/>
      <c r="D75" s="78"/>
      <c r="E75" s="94"/>
      <c r="F75" s="78"/>
      <c r="G75" s="85"/>
    </row>
    <row r="76" spans="1:7" ht="12.75" customHeight="1" x14ac:dyDescent="0.2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 x14ac:dyDescent="0.2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 x14ac:dyDescent="0.2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 x14ac:dyDescent="0.2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 x14ac:dyDescent="0.2">
      <c r="A80" s="91"/>
      <c r="B80" s="92"/>
      <c r="C80" s="85"/>
      <c r="D80" s="85"/>
      <c r="E80" s="86"/>
      <c r="F80" s="85"/>
      <c r="G80" s="85"/>
    </row>
    <row r="81" spans="1:8" ht="18" customHeight="1" x14ac:dyDescent="0.2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 x14ac:dyDescent="0.2">
      <c r="A82" s="91"/>
      <c r="B82" s="92"/>
      <c r="C82" s="85"/>
      <c r="D82" s="85"/>
      <c r="E82" s="86"/>
      <c r="F82" s="85"/>
      <c r="G82" s="85"/>
    </row>
    <row r="83" spans="1:8" ht="14.25" customHeight="1" x14ac:dyDescent="0.2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 x14ac:dyDescent="0.2">
      <c r="A84" s="102"/>
      <c r="B84" s="92"/>
      <c r="C84" s="78"/>
      <c r="D84" s="78"/>
      <c r="E84" s="94"/>
      <c r="F84" s="78"/>
      <c r="G84" s="85"/>
    </row>
    <row r="85" spans="1:8" ht="12.75" customHeight="1" x14ac:dyDescent="0.2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 x14ac:dyDescent="0.2">
      <c r="A86" s="64"/>
      <c r="B86" s="92"/>
      <c r="C86" s="78"/>
      <c r="D86" s="78"/>
      <c r="E86" s="94"/>
      <c r="F86" s="78"/>
      <c r="G86" s="85"/>
    </row>
    <row r="87" spans="1:8" ht="14.25" customHeight="1" x14ac:dyDescent="0.2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 x14ac:dyDescent="0.2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 x14ac:dyDescent="0.2">
      <c r="A89" s="64"/>
      <c r="B89" s="117"/>
      <c r="C89" s="99"/>
      <c r="D89" s="99"/>
      <c r="E89" s="99"/>
      <c r="F89" s="97"/>
      <c r="G89" s="85"/>
    </row>
    <row r="90" spans="1:8" ht="14.25" customHeight="1" x14ac:dyDescent="0.2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 x14ac:dyDescent="0.2">
      <c r="A91" s="64"/>
      <c r="B91" s="85"/>
      <c r="C91" s="85"/>
      <c r="D91" s="85"/>
      <c r="E91" s="86"/>
      <c r="F91" s="85"/>
      <c r="G91" s="85"/>
    </row>
    <row r="92" spans="1:8" ht="12.75" customHeight="1" x14ac:dyDescent="0.2">
      <c r="A92" s="64"/>
      <c r="B92" s="105"/>
      <c r="C92" s="85"/>
      <c r="D92" s="101"/>
      <c r="E92" s="86"/>
      <c r="F92" s="85"/>
      <c r="G92" s="85"/>
    </row>
    <row r="93" spans="1:8" s="182" customFormat="1" ht="17.25" x14ac:dyDescent="0.3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7.25" x14ac:dyDescent="0.3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 x14ac:dyDescent="0.2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 x14ac:dyDescent="0.2">
      <c r="A96" s="91"/>
      <c r="B96" s="92"/>
      <c r="C96" s="85"/>
      <c r="D96" s="85"/>
      <c r="E96" s="86"/>
      <c r="F96" s="85"/>
      <c r="G96" s="85"/>
    </row>
    <row r="97" spans="1:7" ht="12.75" customHeight="1" x14ac:dyDescent="0.2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 x14ac:dyDescent="0.2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 x14ac:dyDescent="0.2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 x14ac:dyDescent="0.2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 x14ac:dyDescent="0.2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 x14ac:dyDescent="0.2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 x14ac:dyDescent="0.2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 x14ac:dyDescent="0.2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 x14ac:dyDescent="0.2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 x14ac:dyDescent="0.2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 x14ac:dyDescent="0.2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 x14ac:dyDescent="0.2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 x14ac:dyDescent="0.2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 x14ac:dyDescent="0.2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 x14ac:dyDescent="0.2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 x14ac:dyDescent="0.2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 x14ac:dyDescent="0.2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 x14ac:dyDescent="0.2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 x14ac:dyDescent="0.2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 x14ac:dyDescent="0.2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 x14ac:dyDescent="0.2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 x14ac:dyDescent="0.2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 x14ac:dyDescent="0.2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 x14ac:dyDescent="0.2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 x14ac:dyDescent="0.2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 x14ac:dyDescent="0.2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 x14ac:dyDescent="0.2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 x14ac:dyDescent="0.2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 x14ac:dyDescent="0.2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 x14ac:dyDescent="0.2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 x14ac:dyDescent="0.2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 x14ac:dyDescent="0.2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 x14ac:dyDescent="0.2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 x14ac:dyDescent="0.2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 x14ac:dyDescent="0.2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 x14ac:dyDescent="0.2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 x14ac:dyDescent="0.2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 x14ac:dyDescent="0.2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 x14ac:dyDescent="0.2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 x14ac:dyDescent="0.2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 x14ac:dyDescent="0.2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 x14ac:dyDescent="0.2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 x14ac:dyDescent="0.2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 x14ac:dyDescent="0.2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 x14ac:dyDescent="0.2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 x14ac:dyDescent="0.2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 x14ac:dyDescent="0.2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 x14ac:dyDescent="0.2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 x14ac:dyDescent="0.2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 x14ac:dyDescent="0.2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 x14ac:dyDescent="0.2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 x14ac:dyDescent="0.2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 x14ac:dyDescent="0.2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 x14ac:dyDescent="0.2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 x14ac:dyDescent="0.2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 x14ac:dyDescent="0.2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 x14ac:dyDescent="0.2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 x14ac:dyDescent="0.2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 x14ac:dyDescent="0.2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 x14ac:dyDescent="0.2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 x14ac:dyDescent="0.2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 x14ac:dyDescent="0.2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 x14ac:dyDescent="0.2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 x14ac:dyDescent="0.2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 x14ac:dyDescent="0.2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 x14ac:dyDescent="0.2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 x14ac:dyDescent="0.2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 x14ac:dyDescent="0.2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 x14ac:dyDescent="0.2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 x14ac:dyDescent="0.2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 x14ac:dyDescent="0.2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 x14ac:dyDescent="0.2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 x14ac:dyDescent="0.2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 x14ac:dyDescent="0.2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 x14ac:dyDescent="0.2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 x14ac:dyDescent="0.2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 x14ac:dyDescent="0.2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 x14ac:dyDescent="0.2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 x14ac:dyDescent="0.2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 x14ac:dyDescent="0.2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 x14ac:dyDescent="0.2">
      <c r="A177" s="64"/>
      <c r="B177" s="118"/>
      <c r="C177" s="118"/>
      <c r="D177" s="118"/>
      <c r="E177" s="118"/>
      <c r="F177" s="118"/>
      <c r="G177" s="103"/>
    </row>
    <row r="178" spans="1:8" s="182" customFormat="1" ht="17.25" x14ac:dyDescent="0.3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7.25" x14ac:dyDescent="0.3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 x14ac:dyDescent="0.2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 x14ac:dyDescent="0.2">
      <c r="A181" s="91"/>
      <c r="B181" s="92"/>
      <c r="C181" s="85"/>
      <c r="D181" s="85"/>
      <c r="E181" s="86"/>
      <c r="F181" s="85"/>
      <c r="G181" s="78"/>
    </row>
    <row r="182" spans="1:8" ht="12.75" customHeight="1" x14ac:dyDescent="0.2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 x14ac:dyDescent="0.2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 x14ac:dyDescent="0.2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 x14ac:dyDescent="0.2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 x14ac:dyDescent="0.2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 x14ac:dyDescent="0.2">
      <c r="A187" s="93"/>
      <c r="B187" s="118"/>
      <c r="C187" s="118"/>
      <c r="D187" s="118"/>
      <c r="E187" s="118"/>
      <c r="F187" s="85"/>
      <c r="G187" s="78"/>
    </row>
    <row r="188" spans="1:8" ht="12.75" customHeight="1" x14ac:dyDescent="0.2">
      <c r="A188" s="93"/>
      <c r="B188" s="118"/>
      <c r="C188" s="118"/>
      <c r="D188" s="118"/>
      <c r="E188" s="118"/>
      <c r="G188" s="78"/>
    </row>
    <row r="189" spans="1:8" ht="15" hidden="1" customHeight="1" x14ac:dyDescent="0.2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 x14ac:dyDescent="0.2">
      <c r="A190" s="91"/>
      <c r="B190" s="92"/>
      <c r="C190" s="85"/>
      <c r="D190" s="85"/>
      <c r="E190" s="86"/>
      <c r="F190" s="85"/>
      <c r="G190" s="78"/>
    </row>
    <row r="191" spans="1:8" ht="12.75" hidden="1" customHeight="1" x14ac:dyDescent="0.2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 x14ac:dyDescent="0.2">
      <c r="A192" s="91"/>
      <c r="B192" s="92"/>
      <c r="C192" s="85"/>
      <c r="D192" s="85"/>
      <c r="E192" s="86"/>
      <c r="F192" s="85"/>
      <c r="G192" s="78"/>
    </row>
    <row r="193" spans="1:7" ht="12.75" hidden="1" customHeight="1" x14ac:dyDescent="0.2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 x14ac:dyDescent="0.2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 x14ac:dyDescent="0.2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 x14ac:dyDescent="0.2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 x14ac:dyDescent="0.2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 x14ac:dyDescent="0.2">
      <c r="A198" s="93"/>
      <c r="B198" s="118"/>
      <c r="C198" s="118"/>
      <c r="D198" s="118"/>
      <c r="E198" s="118"/>
      <c r="F198" s="85"/>
      <c r="G198" s="78"/>
    </row>
    <row r="199" spans="1:7" ht="12.75" hidden="1" customHeight="1" x14ac:dyDescent="0.2">
      <c r="A199" s="93"/>
      <c r="B199" s="118"/>
      <c r="C199" s="118"/>
      <c r="D199" s="118"/>
      <c r="E199" s="118"/>
      <c r="F199" s="85"/>
      <c r="G199" s="78"/>
    </row>
    <row r="200" spans="1:7" ht="17.25" x14ac:dyDescent="0.2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 x14ac:dyDescent="0.2">
      <c r="G203" s="80"/>
    </row>
    <row r="205" spans="1:7" x14ac:dyDescent="0.2">
      <c r="G205" s="67"/>
    </row>
    <row r="206" spans="1:7" x14ac:dyDescent="0.2">
      <c r="G206" s="165"/>
    </row>
    <row r="207" spans="1:7" x14ac:dyDescent="0.2">
      <c r="G207" s="165"/>
    </row>
    <row r="208" spans="1:7" x14ac:dyDescent="0.2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G18" sqref="G18"/>
    </sheetView>
  </sheetViews>
  <sheetFormatPr baseColWidth="10" defaultColWidth="11.42578125" defaultRowHeight="12.75" x14ac:dyDescent="0.2"/>
  <cols>
    <col min="1" max="1" width="7.5703125" style="70" customWidth="1"/>
    <col min="2" max="2" width="46" style="70" customWidth="1"/>
    <col min="3" max="3" width="20.5703125" style="70" customWidth="1"/>
    <col min="4" max="4" width="15.7109375" style="70" customWidth="1"/>
    <col min="5" max="5" width="11.140625" style="73" customWidth="1"/>
    <col min="6" max="6" width="16.42578125" style="70" customWidth="1"/>
    <col min="7" max="7" width="16.85546875" style="70" customWidth="1"/>
    <col min="8" max="16384" width="11.42578125" style="63"/>
  </cols>
  <sheetData>
    <row r="1" spans="1:7" ht="20.25" customHeight="1" x14ac:dyDescent="0.2"/>
    <row r="2" spans="1:7" ht="20.25" customHeight="1" x14ac:dyDescent="0.2"/>
    <row r="3" spans="1:7" ht="27" customHeight="1" x14ac:dyDescent="0.2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 x14ac:dyDescent="0.2">
      <c r="A4" s="65"/>
      <c r="B4" s="65"/>
      <c r="C4" s="65"/>
      <c r="D4" s="65"/>
      <c r="E4" s="66"/>
      <c r="F4" s="65"/>
      <c r="G4" s="65"/>
    </row>
    <row r="5" spans="1:7" ht="18" customHeight="1" x14ac:dyDescent="0.2">
      <c r="B5" s="68"/>
      <c r="C5" s="69"/>
      <c r="D5" s="65"/>
      <c r="E5" s="66"/>
      <c r="F5" s="65"/>
    </row>
    <row r="6" spans="1:7" ht="18" customHeight="1" x14ac:dyDescent="0.2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 x14ac:dyDescent="0.2">
      <c r="B7" s="68" t="s">
        <v>65</v>
      </c>
      <c r="C7" s="30" t="str">
        <f>'R'!C10</f>
        <v>:22 EDUCACIÓN</v>
      </c>
      <c r="G7" s="33" t="s">
        <v>1</v>
      </c>
    </row>
    <row r="8" spans="1:7" ht="18" customHeight="1" x14ac:dyDescent="0.2">
      <c r="B8" s="29" t="s">
        <v>66</v>
      </c>
      <c r="C8" s="30" t="str">
        <f>'R'!C11</f>
        <v>:047 EDUCACIÓN BÁSICA</v>
      </c>
      <c r="G8" s="33"/>
    </row>
    <row r="9" spans="1:7" ht="18" customHeight="1" x14ac:dyDescent="0.2">
      <c r="B9" s="29" t="s">
        <v>67</v>
      </c>
      <c r="C9" s="30" t="str">
        <f>'R'!C12</f>
        <v>:EDUCACIÓN PRIMARIA SECUNDARIA</v>
      </c>
    </row>
    <row r="10" spans="1:7" ht="18" customHeight="1" x14ac:dyDescent="0.2">
      <c r="B10" s="29" t="s">
        <v>111</v>
      </c>
      <c r="C10" s="502" t="s">
        <v>654</v>
      </c>
      <c r="D10" s="502"/>
      <c r="E10" s="502"/>
      <c r="F10" s="502"/>
      <c r="G10" s="502"/>
    </row>
    <row r="11" spans="1:7" ht="22.9" customHeight="1" x14ac:dyDescent="0.2">
      <c r="B11" s="29"/>
      <c r="C11" s="502"/>
      <c r="D11" s="502"/>
      <c r="E11" s="502"/>
      <c r="F11" s="502"/>
      <c r="G11" s="502"/>
    </row>
    <row r="12" spans="1:7" ht="18" customHeight="1" x14ac:dyDescent="0.2">
      <c r="B12" s="29"/>
      <c r="C12" s="30"/>
      <c r="D12" s="65"/>
    </row>
    <row r="13" spans="1:7" ht="18" customHeight="1" thickBot="1" x14ac:dyDescent="0.25">
      <c r="B13" s="29"/>
      <c r="C13" s="30"/>
      <c r="D13" s="65"/>
    </row>
    <row r="14" spans="1:7" s="182" customFormat="1" ht="20.25" customHeight="1" thickBot="1" x14ac:dyDescent="0.25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 x14ac:dyDescent="0.2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 x14ac:dyDescent="0.2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 x14ac:dyDescent="0.2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 x14ac:dyDescent="0.2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 x14ac:dyDescent="0.25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 x14ac:dyDescent="0.2">
      <c r="B20" s="75"/>
      <c r="C20" s="75"/>
      <c r="D20" s="75"/>
      <c r="E20" s="75"/>
      <c r="F20" s="88"/>
      <c r="G20" s="65"/>
    </row>
    <row r="21" spans="1:10" ht="18" customHeight="1" x14ac:dyDescent="0.2">
      <c r="B21" s="75"/>
      <c r="C21" s="75"/>
      <c r="D21" s="75"/>
      <c r="E21" s="75"/>
      <c r="F21" s="88"/>
      <c r="G21" s="65"/>
    </row>
    <row r="22" spans="1:10" ht="18" customHeight="1" x14ac:dyDescent="0.2">
      <c r="B22" s="75"/>
      <c r="C22" s="75"/>
      <c r="D22" s="75"/>
      <c r="E22" s="75"/>
      <c r="F22" s="88"/>
      <c r="G22" s="65"/>
    </row>
    <row r="23" spans="1:10" ht="18" customHeight="1" x14ac:dyDescent="0.2">
      <c r="B23" s="75"/>
      <c r="C23" s="75"/>
      <c r="D23" s="75"/>
      <c r="E23" s="75"/>
      <c r="F23" s="88"/>
      <c r="G23" s="65"/>
    </row>
    <row r="24" spans="1:10" ht="18" customHeight="1" x14ac:dyDescent="0.2">
      <c r="B24" s="75"/>
      <c r="C24" s="75"/>
      <c r="D24" s="75"/>
      <c r="E24" s="75"/>
      <c r="F24" s="88"/>
      <c r="G24" s="65"/>
    </row>
    <row r="25" spans="1:10" ht="18" customHeight="1" x14ac:dyDescent="0.2">
      <c r="B25" s="75"/>
      <c r="C25" s="75"/>
      <c r="D25" s="75"/>
      <c r="E25" s="75"/>
      <c r="F25" s="88"/>
      <c r="G25" s="65"/>
    </row>
    <row r="26" spans="1:10" ht="18" customHeight="1" x14ac:dyDescent="0.2">
      <c r="A26" s="77"/>
      <c r="B26" s="77"/>
      <c r="C26" s="67"/>
      <c r="D26" s="78"/>
      <c r="E26" s="79"/>
      <c r="F26" s="67"/>
    </row>
    <row r="27" spans="1:10" ht="27" customHeight="1" x14ac:dyDescent="0.2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 x14ac:dyDescent="0.2">
      <c r="A28" s="230"/>
      <c r="B28" s="231"/>
      <c r="C28" s="232"/>
      <c r="D28" s="231"/>
      <c r="E28" s="233"/>
      <c r="F28" s="231"/>
      <c r="G28" s="231"/>
    </row>
    <row r="29" spans="1:10" ht="27" customHeight="1" x14ac:dyDescent="0.2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 x14ac:dyDescent="0.2">
      <c r="A30" s="431"/>
      <c r="B30" s="431"/>
      <c r="C30" s="431"/>
      <c r="D30" s="431"/>
      <c r="E30" s="431"/>
      <c r="F30" s="431"/>
      <c r="G30" s="431"/>
    </row>
    <row r="31" spans="1:10" ht="27" customHeight="1" x14ac:dyDescent="0.2">
      <c r="A31" s="431"/>
      <c r="B31" s="431"/>
      <c r="C31" s="431"/>
      <c r="D31" s="431"/>
      <c r="E31" s="431"/>
      <c r="F31" s="431"/>
      <c r="G31" s="431"/>
    </row>
    <row r="32" spans="1:10" ht="12.75" customHeight="1" x14ac:dyDescent="0.2">
      <c r="A32" s="123"/>
      <c r="B32" s="123"/>
      <c r="C32" s="124"/>
      <c r="D32" s="125"/>
      <c r="E32" s="126"/>
      <c r="F32" s="123"/>
      <c r="G32" s="123"/>
    </row>
    <row r="33" spans="1:8" s="182" customFormat="1" ht="17.25" x14ac:dyDescent="0.3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7.25" x14ac:dyDescent="0.3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 x14ac:dyDescent="0.2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 x14ac:dyDescent="0.2">
      <c r="A36" s="89"/>
      <c r="B36" s="90"/>
      <c r="C36" s="85"/>
      <c r="D36" s="85"/>
      <c r="E36" s="86"/>
      <c r="F36" s="85"/>
      <c r="G36" s="85"/>
    </row>
    <row r="37" spans="1:8" ht="12.75" customHeight="1" x14ac:dyDescent="0.2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 x14ac:dyDescent="0.2">
      <c r="A38" s="93"/>
      <c r="B38" s="78"/>
      <c r="C38" s="85"/>
      <c r="D38" s="85"/>
      <c r="E38" s="86"/>
      <c r="F38" s="85"/>
      <c r="G38" s="85"/>
    </row>
    <row r="39" spans="1:8" ht="12.75" customHeight="1" x14ac:dyDescent="0.2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 x14ac:dyDescent="0.2">
      <c r="A40" s="64"/>
      <c r="B40" s="92"/>
      <c r="C40" s="78"/>
      <c r="D40" s="78"/>
      <c r="E40" s="94"/>
      <c r="F40" s="78"/>
      <c r="G40" s="85"/>
    </row>
    <row r="41" spans="1:8" ht="12.75" customHeight="1" x14ac:dyDescent="0.2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 x14ac:dyDescent="0.2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 x14ac:dyDescent="0.2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 x14ac:dyDescent="0.2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 x14ac:dyDescent="0.2">
      <c r="A45" s="64"/>
      <c r="B45" s="85"/>
      <c r="C45" s="85"/>
      <c r="D45" s="85"/>
      <c r="E45" s="86"/>
      <c r="F45" s="85"/>
      <c r="G45" s="85"/>
    </row>
    <row r="46" spans="1:8" ht="15.75" customHeight="1" x14ac:dyDescent="0.2">
      <c r="A46" s="64"/>
      <c r="B46" s="85"/>
      <c r="C46" s="85"/>
      <c r="D46" s="85"/>
      <c r="E46" s="86"/>
      <c r="F46" s="85"/>
      <c r="G46" s="85"/>
    </row>
    <row r="47" spans="1:8" ht="18" customHeight="1" x14ac:dyDescent="0.2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 x14ac:dyDescent="0.2">
      <c r="A48" s="89"/>
      <c r="B48" s="90"/>
      <c r="C48" s="85"/>
      <c r="D48" s="85"/>
      <c r="E48" s="86"/>
      <c r="F48" s="85"/>
      <c r="G48" s="85"/>
    </row>
    <row r="49" spans="1:7" ht="12.75" customHeight="1" x14ac:dyDescent="0.2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 x14ac:dyDescent="0.2">
      <c r="A50" s="91"/>
      <c r="B50" s="92"/>
      <c r="C50" s="85"/>
      <c r="D50" s="85"/>
      <c r="E50" s="86"/>
      <c r="F50" s="85"/>
      <c r="G50" s="85"/>
    </row>
    <row r="51" spans="1:7" ht="12.75" customHeight="1" x14ac:dyDescent="0.2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 x14ac:dyDescent="0.2">
      <c r="A52" s="93"/>
      <c r="B52" s="92"/>
      <c r="C52" s="78"/>
      <c r="D52" s="78"/>
      <c r="E52" s="94"/>
      <c r="F52" s="85"/>
      <c r="G52" s="85"/>
    </row>
    <row r="53" spans="1:7" ht="12.75" customHeight="1" x14ac:dyDescent="0.2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 x14ac:dyDescent="0.2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 x14ac:dyDescent="0.2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 x14ac:dyDescent="0.2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 x14ac:dyDescent="0.2">
      <c r="A57" s="64"/>
      <c r="B57" s="101"/>
      <c r="C57" s="101"/>
      <c r="D57" s="101"/>
      <c r="E57" s="86"/>
      <c r="F57" s="85"/>
      <c r="G57" s="85"/>
    </row>
    <row r="58" spans="1:7" ht="13.5" customHeight="1" x14ac:dyDescent="0.2">
      <c r="A58" s="64"/>
      <c r="B58" s="101"/>
      <c r="C58" s="85"/>
      <c r="D58" s="101"/>
      <c r="E58" s="86"/>
      <c r="F58" s="85"/>
      <c r="G58" s="85"/>
    </row>
    <row r="59" spans="1:7" ht="12.75" customHeight="1" x14ac:dyDescent="0.2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 x14ac:dyDescent="0.2">
      <c r="A60" s="91"/>
      <c r="B60" s="92"/>
      <c r="C60" s="85"/>
      <c r="D60" s="85"/>
      <c r="E60" s="86"/>
      <c r="F60" s="85"/>
      <c r="G60" s="85"/>
    </row>
    <row r="61" spans="1:7" ht="12.75" customHeight="1" x14ac:dyDescent="0.2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 x14ac:dyDescent="0.2">
      <c r="A62" s="64"/>
      <c r="B62" s="92"/>
      <c r="C62" s="78"/>
      <c r="D62" s="78"/>
      <c r="E62" s="94"/>
      <c r="F62" s="85"/>
      <c r="G62" s="85"/>
    </row>
    <row r="63" spans="1:7" ht="12.75" customHeight="1" x14ac:dyDescent="0.2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 x14ac:dyDescent="0.2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 x14ac:dyDescent="0.2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 x14ac:dyDescent="0.2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 x14ac:dyDescent="0.2">
      <c r="A67" s="64"/>
      <c r="B67" s="101"/>
      <c r="C67" s="85"/>
      <c r="D67" s="101"/>
      <c r="E67" s="86"/>
      <c r="F67" s="85"/>
      <c r="G67" s="85"/>
    </row>
    <row r="68" spans="1:7" ht="18" customHeight="1" x14ac:dyDescent="0.2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 x14ac:dyDescent="0.2">
      <c r="A69" s="91"/>
      <c r="B69" s="92"/>
      <c r="C69" s="85"/>
      <c r="D69" s="85"/>
      <c r="E69" s="86"/>
      <c r="F69" s="85"/>
      <c r="G69" s="85"/>
    </row>
    <row r="70" spans="1:7" ht="12.75" customHeight="1" x14ac:dyDescent="0.2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 x14ac:dyDescent="0.2">
      <c r="A71" s="93"/>
      <c r="B71" s="103"/>
      <c r="C71" s="85"/>
      <c r="D71" s="85"/>
      <c r="E71" s="86"/>
      <c r="F71" s="85"/>
      <c r="G71" s="85"/>
    </row>
    <row r="72" spans="1:7" ht="12.75" customHeight="1" x14ac:dyDescent="0.2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 x14ac:dyDescent="0.2">
      <c r="A73" s="64"/>
      <c r="B73" s="92"/>
      <c r="C73" s="78"/>
      <c r="D73" s="78"/>
      <c r="E73" s="94"/>
      <c r="F73" s="78"/>
      <c r="G73" s="85"/>
    </row>
    <row r="74" spans="1:7" ht="12.75" customHeight="1" x14ac:dyDescent="0.2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 x14ac:dyDescent="0.2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 x14ac:dyDescent="0.2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 x14ac:dyDescent="0.2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 x14ac:dyDescent="0.2">
      <c r="A78" s="91"/>
      <c r="B78" s="92"/>
      <c r="C78" s="85"/>
      <c r="D78" s="85"/>
      <c r="E78" s="86"/>
      <c r="F78" s="85"/>
      <c r="G78" s="85"/>
    </row>
    <row r="79" spans="1:7" ht="12.75" customHeight="1" x14ac:dyDescent="0.2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 x14ac:dyDescent="0.2">
      <c r="A80" s="93"/>
      <c r="B80" s="103"/>
      <c r="C80" s="85"/>
      <c r="D80" s="85"/>
      <c r="E80" s="86"/>
      <c r="F80" s="85"/>
      <c r="G80" s="85"/>
    </row>
    <row r="81" spans="1:7" ht="12.75" customHeight="1" x14ac:dyDescent="0.2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 x14ac:dyDescent="0.2">
      <c r="A82" s="64"/>
      <c r="B82" s="92"/>
      <c r="C82" s="78"/>
      <c r="D82" s="78"/>
      <c r="E82" s="94"/>
      <c r="F82" s="78"/>
      <c r="G82" s="85"/>
    </row>
    <row r="83" spans="1:7" ht="12.75" customHeight="1" x14ac:dyDescent="0.2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 x14ac:dyDescent="0.2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 x14ac:dyDescent="0.2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 x14ac:dyDescent="0.2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 x14ac:dyDescent="0.2">
      <c r="A87" s="91"/>
      <c r="B87" s="92"/>
      <c r="C87" s="85"/>
      <c r="D87" s="85"/>
      <c r="E87" s="86"/>
      <c r="F87" s="85"/>
      <c r="G87" s="85"/>
    </row>
    <row r="88" spans="1:7" ht="18" customHeight="1" x14ac:dyDescent="0.2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 x14ac:dyDescent="0.2">
      <c r="A89" s="91"/>
      <c r="B89" s="92"/>
      <c r="C89" s="85"/>
      <c r="D89" s="85"/>
      <c r="E89" s="86"/>
      <c r="F89" s="85"/>
      <c r="G89" s="85"/>
    </row>
    <row r="90" spans="1:7" ht="14.25" customHeight="1" x14ac:dyDescent="0.2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 x14ac:dyDescent="0.2">
      <c r="A91" s="102"/>
      <c r="B91" s="92"/>
      <c r="C91" s="78"/>
      <c r="D91" s="78"/>
      <c r="E91" s="94"/>
      <c r="F91" s="78"/>
      <c r="G91" s="85"/>
    </row>
    <row r="92" spans="1:7" ht="12.75" customHeight="1" x14ac:dyDescent="0.2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 x14ac:dyDescent="0.2">
      <c r="A93" s="64"/>
      <c r="B93" s="92"/>
      <c r="C93" s="78"/>
      <c r="D93" s="78"/>
      <c r="E93" s="94"/>
      <c r="F93" s="78"/>
      <c r="G93" s="85"/>
    </row>
    <row r="94" spans="1:7" ht="14.25" customHeight="1" x14ac:dyDescent="0.2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 x14ac:dyDescent="0.2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 x14ac:dyDescent="0.2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 x14ac:dyDescent="0.2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 x14ac:dyDescent="0.2">
      <c r="A98" s="64"/>
      <c r="B98" s="85"/>
      <c r="C98" s="85"/>
      <c r="D98" s="85"/>
      <c r="E98" s="86"/>
      <c r="F98" s="85"/>
      <c r="G98" s="85"/>
    </row>
    <row r="99" spans="1:8" s="182" customFormat="1" ht="17.25" x14ac:dyDescent="0.3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 x14ac:dyDescent="0.2">
      <c r="A100" s="91"/>
      <c r="B100" s="92"/>
      <c r="C100" s="85"/>
      <c r="D100" s="85"/>
      <c r="E100" s="86"/>
      <c r="F100" s="85"/>
      <c r="G100" s="85"/>
    </row>
    <row r="101" spans="1:8" ht="12.75" customHeight="1" x14ac:dyDescent="0.2">
      <c r="A101" s="64"/>
      <c r="B101" s="85"/>
      <c r="C101" s="85"/>
      <c r="D101" s="85"/>
      <c r="E101" s="86"/>
      <c r="F101" s="85"/>
      <c r="G101" s="85"/>
    </row>
    <row r="102" spans="1:8" ht="15" customHeight="1" x14ac:dyDescent="0.2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 x14ac:dyDescent="0.2">
      <c r="A103" s="131"/>
      <c r="B103" s="132"/>
      <c r="C103" s="139"/>
      <c r="D103" s="140"/>
      <c r="E103" s="139"/>
      <c r="F103" s="140"/>
    </row>
    <row r="104" spans="1:8" ht="18" customHeight="1" x14ac:dyDescent="0.2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 x14ac:dyDescent="0.2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 x14ac:dyDescent="0.2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 x14ac:dyDescent="0.2">
      <c r="A107" s="133"/>
      <c r="B107" s="142"/>
      <c r="C107" s="126"/>
      <c r="D107" s="143"/>
      <c r="E107" s="126"/>
      <c r="F107" s="143"/>
    </row>
    <row r="108" spans="1:8" ht="18" customHeight="1" x14ac:dyDescent="0.2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 x14ac:dyDescent="0.2">
      <c r="A109" s="91"/>
      <c r="B109" s="92"/>
      <c r="C109" s="85"/>
      <c r="D109" s="85"/>
      <c r="E109" s="86"/>
      <c r="F109" s="85"/>
      <c r="G109" s="78"/>
    </row>
    <row r="110" spans="1:8" ht="12.75" customHeight="1" x14ac:dyDescent="0.2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 x14ac:dyDescent="0.2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 x14ac:dyDescent="0.2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 x14ac:dyDescent="0.2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 x14ac:dyDescent="0.2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 x14ac:dyDescent="0.2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 x14ac:dyDescent="0.2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 x14ac:dyDescent="0.2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 x14ac:dyDescent="0.2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 x14ac:dyDescent="0.2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 x14ac:dyDescent="0.2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 x14ac:dyDescent="0.2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 x14ac:dyDescent="0.2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 x14ac:dyDescent="0.2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 x14ac:dyDescent="0.2">
      <c r="A124" s="127"/>
      <c r="B124" s="91"/>
      <c r="C124" s="92"/>
      <c r="D124" s="144"/>
      <c r="E124" s="145"/>
      <c r="F124" s="129"/>
      <c r="G124" s="130"/>
    </row>
    <row r="125" spans="1:8" ht="12.75" customHeight="1" x14ac:dyDescent="0.2">
      <c r="A125" s="64"/>
      <c r="B125" s="118"/>
      <c r="C125" s="118"/>
      <c r="D125" s="118"/>
      <c r="E125" s="118"/>
      <c r="F125" s="85"/>
      <c r="G125" s="78"/>
    </row>
    <row r="126" spans="1:8" s="182" customFormat="1" ht="17.25" x14ac:dyDescent="0.3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 x14ac:dyDescent="0.2">
      <c r="A127" s="127"/>
      <c r="B127" s="154"/>
      <c r="C127" s="146"/>
      <c r="D127" s="146"/>
      <c r="E127" s="145"/>
      <c r="F127" s="129"/>
      <c r="G127" s="130"/>
    </row>
    <row r="128" spans="1:8" ht="13.5" hidden="1" customHeight="1" x14ac:dyDescent="0.2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 x14ac:dyDescent="0.2">
      <c r="A129" s="131"/>
      <c r="B129" s="147"/>
      <c r="C129" s="148"/>
      <c r="D129" s="148"/>
      <c r="E129" s="149"/>
      <c r="F129" s="148"/>
    </row>
    <row r="130" spans="1:7" ht="12.75" hidden="1" customHeight="1" x14ac:dyDescent="0.2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 x14ac:dyDescent="0.2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 x14ac:dyDescent="0.2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 x14ac:dyDescent="0.2">
      <c r="A133" s="133"/>
      <c r="B133" s="81"/>
      <c r="C133" s="81"/>
      <c r="D133" s="81"/>
      <c r="E133" s="81"/>
      <c r="F133" s="153"/>
    </row>
    <row r="134" spans="1:7" ht="16.5" customHeight="1" x14ac:dyDescent="0.2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 x14ac:dyDescent="0.2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 x14ac:dyDescent="0.2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 x14ac:dyDescent="0.2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 x14ac:dyDescent="0.2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 x14ac:dyDescent="0.2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 x14ac:dyDescent="0.2">
      <c r="A140" s="133"/>
      <c r="B140" s="81"/>
      <c r="C140" s="81"/>
      <c r="D140" s="81"/>
      <c r="E140" s="81"/>
      <c r="F140" s="153"/>
    </row>
    <row r="141" spans="1:7" ht="12.75" customHeight="1" x14ac:dyDescent="0.2">
      <c r="A141" s="93"/>
      <c r="B141" s="118"/>
      <c r="C141" s="118"/>
      <c r="D141" s="118"/>
      <c r="E141" s="118"/>
      <c r="F141" s="85"/>
      <c r="G141" s="78"/>
    </row>
    <row r="142" spans="1:7" ht="12.75" customHeight="1" x14ac:dyDescent="0.2">
      <c r="A142" s="93"/>
      <c r="B142" s="118"/>
      <c r="C142" s="118"/>
      <c r="D142" s="118"/>
      <c r="E142" s="118"/>
      <c r="G142" s="78"/>
    </row>
    <row r="143" spans="1:7" ht="15" hidden="1" customHeight="1" x14ac:dyDescent="0.2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 x14ac:dyDescent="0.2">
      <c r="A144" s="91"/>
      <c r="B144" s="92"/>
      <c r="C144" s="85"/>
      <c r="D144" s="85"/>
      <c r="E144" s="86"/>
      <c r="F144" s="85"/>
      <c r="G144" s="78"/>
    </row>
    <row r="145" spans="1:9" ht="12.75" hidden="1" customHeight="1" x14ac:dyDescent="0.2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 x14ac:dyDescent="0.2">
      <c r="A146" s="91"/>
      <c r="B146" s="92"/>
      <c r="C146" s="85"/>
      <c r="D146" s="85"/>
      <c r="E146" s="86"/>
      <c r="F146" s="85"/>
      <c r="G146" s="78"/>
    </row>
    <row r="147" spans="1:9" ht="12.75" hidden="1" customHeight="1" x14ac:dyDescent="0.2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 x14ac:dyDescent="0.2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 x14ac:dyDescent="0.2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 x14ac:dyDescent="0.2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 x14ac:dyDescent="0.2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 x14ac:dyDescent="0.2">
      <c r="A152" s="93"/>
      <c r="B152" s="118"/>
      <c r="C152" s="118"/>
      <c r="D152" s="118"/>
      <c r="E152" s="118"/>
      <c r="F152" s="85"/>
      <c r="G152" s="78"/>
    </row>
    <row r="153" spans="1:9" ht="12.75" hidden="1" customHeight="1" x14ac:dyDescent="0.2">
      <c r="A153" s="93"/>
      <c r="B153" s="118"/>
      <c r="C153" s="118"/>
      <c r="D153" s="118"/>
      <c r="E153" s="118"/>
      <c r="F153" s="85"/>
      <c r="G153" s="78"/>
    </row>
    <row r="154" spans="1:9" ht="17.25" x14ac:dyDescent="0.2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RESUMEN!G30</f>
        <v>380539.29333333333</v>
      </c>
    </row>
    <row r="157" spans="1:9" ht="17.25" x14ac:dyDescent="0.2">
      <c r="G157" s="164"/>
    </row>
    <row r="158" spans="1:9" ht="17.25" x14ac:dyDescent="0.2">
      <c r="G158" s="164"/>
    </row>
    <row r="159" spans="1:9" ht="17.25" x14ac:dyDescent="0.2">
      <c r="A159" s="262" t="s">
        <v>278</v>
      </c>
      <c r="B159" s="262" t="s">
        <v>270</v>
      </c>
      <c r="C159" s="263" t="s">
        <v>272</v>
      </c>
      <c r="G159" s="164"/>
    </row>
    <row r="160" spans="1:9" ht="17.25" x14ac:dyDescent="0.2">
      <c r="A160" s="261">
        <v>1</v>
      </c>
      <c r="B160" s="260" t="s">
        <v>271</v>
      </c>
      <c r="C160" s="260" t="s">
        <v>273</v>
      </c>
      <c r="G160" s="164"/>
    </row>
    <row r="161" spans="1:7" ht="17.25" x14ac:dyDescent="0.2">
      <c r="A161" s="261">
        <v>2</v>
      </c>
      <c r="B161" s="260" t="s">
        <v>274</v>
      </c>
      <c r="C161" s="260" t="s">
        <v>275</v>
      </c>
      <c r="G161" s="164"/>
    </row>
    <row r="162" spans="1:7" ht="17.25" x14ac:dyDescent="0.2">
      <c r="A162" s="261">
        <v>3</v>
      </c>
      <c r="B162" s="260" t="s">
        <v>276</v>
      </c>
      <c r="C162" s="260" t="s">
        <v>277</v>
      </c>
      <c r="F162" s="80"/>
      <c r="G162" s="164"/>
    </row>
    <row r="163" spans="1:7" x14ac:dyDescent="0.2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ORFEI_SEC</cp:lastModifiedBy>
  <cp:lastPrinted>2020-05-20T19:29:32Z</cp:lastPrinted>
  <dcterms:created xsi:type="dcterms:W3CDTF">2003-01-21T17:07:22Z</dcterms:created>
  <dcterms:modified xsi:type="dcterms:W3CDTF">2020-07-02T16:54:36Z</dcterms:modified>
</cp:coreProperties>
</file>