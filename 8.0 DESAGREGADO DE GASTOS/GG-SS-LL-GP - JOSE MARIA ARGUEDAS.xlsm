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D:\RECUPERADO 26-11-19\ENTREGADOS IOARR\IOARR  JOSE MARIA ARGUEDAS\8.0 DESAGREGADO DE GASTOS\"/>
    </mc:Choice>
  </mc:AlternateContent>
  <bookViews>
    <workbookView xWindow="2310" yWindow="1155" windowWidth="15990" windowHeight="16125" tabRatio="690"/>
  </bookViews>
  <sheets>
    <sheet name="RESUMEN" sheetId="25" r:id="rId1"/>
    <sheet name="R" sheetId="10" state="hidden" r:id="rId2"/>
    <sheet name="C.Directo" sheetId="13" state="hidden" r:id="rId3"/>
    <sheet name="G.General" sheetId="11" r:id="rId4"/>
    <sheet name="Exp.Téc. " sheetId="22" state="hidden" r:id="rId5"/>
    <sheet name="Supervision" sheetId="12" r:id="rId6"/>
    <sheet name="Liquidacion" sheetId="16" r:id="rId7"/>
    <sheet name="Capacitacion Social" sheetId="21" state="hidden" r:id="rId8"/>
    <sheet name="Gestión" sheetId="27" r:id="rId9"/>
  </sheets>
  <functionGroups builtInGroupCount="18"/>
  <externalReferences>
    <externalReference r:id="rId10"/>
  </externalReferences>
  <definedNames>
    <definedName name="_xlnm._FilterDatabase" localSheetId="2" hidden="1">'C.Directo'!$B$36:$F$36</definedName>
    <definedName name="_xlnm._FilterDatabase" localSheetId="7" hidden="1">'Capacitacion Social'!$B$33:$F$92</definedName>
    <definedName name="_xlnm._FilterDatabase" localSheetId="4" hidden="1">'Exp.Téc. '!#REF!</definedName>
    <definedName name="_xlnm._FilterDatabase" localSheetId="3" hidden="1">G.General!$B$35:$F$87</definedName>
    <definedName name="_xlnm._FilterDatabase" localSheetId="8" hidden="1">Gestión!$B$40:$F$98</definedName>
    <definedName name="_xlnm._FilterDatabase" localSheetId="6" hidden="1">Liquidacion!$B$40:$F$98</definedName>
    <definedName name="_xlnm._FilterDatabase" localSheetId="1" hidden="1">'R'!#REF!</definedName>
    <definedName name="_xlnm._FilterDatabase" localSheetId="5" hidden="1">Supervision!$B$35:$F$99</definedName>
    <definedName name="´ññ" localSheetId="7">#REF!</definedName>
    <definedName name="´ññ" localSheetId="4">#REF!</definedName>
    <definedName name="´ññ" localSheetId="8">#REF!</definedName>
    <definedName name="´ññ">#REF!</definedName>
    <definedName name="_xlnm.Print_Area" localSheetId="2">'C.Directo'!$A$1:$G$486</definedName>
    <definedName name="_xlnm.Print_Area" localSheetId="7">'Capacitacion Social'!$A$1:$G$200</definedName>
    <definedName name="_xlnm.Print_Area" localSheetId="4">'Exp.Téc. '!$A$1:$H$180</definedName>
    <definedName name="_xlnm.Print_Area" localSheetId="3">G.General!$A$1:$G$205</definedName>
    <definedName name="_xlnm.Print_Area" localSheetId="8">Gestión!$A$1:$G$155</definedName>
    <definedName name="_xlnm.Print_Area" localSheetId="6">Liquidacion!$A$1:$G$155</definedName>
    <definedName name="_xlnm.Print_Area" localSheetId="1">'R'!$A$1:$K$27</definedName>
    <definedName name="_xlnm.Print_Area" localSheetId="0">RESUMEN!$B$1:$G$38</definedName>
    <definedName name="_xlnm.Print_Area" localSheetId="5">Supervision!$A$1:$G$158</definedName>
    <definedName name="BAJO_URUBAMBA" localSheetId="8">'R'!#REF!</definedName>
    <definedName name="BAJO_URUBAMBA">'R'!#REF!</definedName>
    <definedName name="_xlnm.Database" localSheetId="8">#REF!</definedName>
    <definedName name="_xlnm.Database">#REF!</definedName>
    <definedName name="BuiltIn_Print_Area" localSheetId="7">#REF!</definedName>
    <definedName name="BuiltIn_Print_Area" localSheetId="4">#REF!</definedName>
    <definedName name="BuiltIn_Print_Area" localSheetId="8">#REF!</definedName>
    <definedName name="BuiltIn_Print_Area">#REF!</definedName>
    <definedName name="BuiltIn_Print_Area___0" localSheetId="7">#REF!</definedName>
    <definedName name="BuiltIn_Print_Area___0" localSheetId="4">#REF!</definedName>
    <definedName name="BuiltIn_Print_Area___0" localSheetId="8">#REF!</definedName>
    <definedName name="BuiltIn_Print_Area___0">#REF!</definedName>
    <definedName name="_xlnm.Criteria" localSheetId="1">'R'!#REF!</definedName>
    <definedName name="ECHARATI" localSheetId="8">'R'!#REF!</definedName>
    <definedName name="ECHARATI">'R'!#REF!</definedName>
    <definedName name="KITENI" localSheetId="8">'R'!#REF!</definedName>
    <definedName name="KITENI">'R'!#REF!</definedName>
    <definedName name="s" localSheetId="7">#REF!</definedName>
    <definedName name="s" localSheetId="4">#REF!</definedName>
    <definedName name="s" localSheetId="8">#REF!</definedName>
    <definedName name="s">#REF!</definedName>
    <definedName name="SHARED_FORMULA_0">#N/A</definedName>
    <definedName name="SHARED_FORMULA_1">#N/A</definedName>
    <definedName name="SHARED_FORMULA_2">#N/A</definedName>
    <definedName name="SHARED_FORMULA_3">#N/A</definedName>
    <definedName name="SHARED_FORMULA_4">#N/A</definedName>
    <definedName name="SHARED_FORMULA_5">#N/A</definedName>
  </definedNames>
  <calcPr calcId="152511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G14" i="25" l="1"/>
  <c r="D445" i="13" l="1"/>
  <c r="F442" i="13" l="1"/>
  <c r="F443" i="13"/>
  <c r="F444" i="13"/>
  <c r="F445" i="13"/>
  <c r="F446" i="13"/>
  <c r="F447" i="13"/>
  <c r="F448" i="13"/>
  <c r="F449" i="13"/>
  <c r="F450" i="13"/>
  <c r="F451" i="13"/>
  <c r="F452" i="13"/>
  <c r="F453" i="13"/>
  <c r="F454" i="13"/>
  <c r="F455" i="13"/>
  <c r="F456" i="13"/>
  <c r="F457" i="13"/>
  <c r="F458" i="13"/>
  <c r="F441" i="13"/>
  <c r="F160" i="13"/>
  <c r="F161" i="13"/>
  <c r="F162" i="13"/>
  <c r="F163" i="13"/>
  <c r="F164" i="13"/>
  <c r="F165" i="13"/>
  <c r="F166" i="13"/>
  <c r="F167" i="13"/>
  <c r="F168" i="13"/>
  <c r="F169" i="13"/>
  <c r="F170" i="13"/>
  <c r="F171" i="13"/>
  <c r="F172" i="13"/>
  <c r="F173" i="13"/>
  <c r="F174" i="13"/>
  <c r="F175" i="13"/>
  <c r="F176" i="13"/>
  <c r="F177" i="13"/>
  <c r="F178" i="13"/>
  <c r="F179" i="13"/>
  <c r="F180" i="13"/>
  <c r="F181" i="13"/>
  <c r="F182" i="13"/>
  <c r="F183" i="13"/>
  <c r="F184" i="13"/>
  <c r="F185" i="13"/>
  <c r="F186" i="13"/>
  <c r="F187" i="13"/>
  <c r="F188" i="13"/>
  <c r="F189" i="13"/>
  <c r="F190" i="13"/>
  <c r="F191" i="13"/>
  <c r="F192" i="13"/>
  <c r="F193" i="13"/>
  <c r="F194" i="13"/>
  <c r="F195" i="13"/>
  <c r="F196" i="13"/>
  <c r="F197" i="13"/>
  <c r="F198" i="13"/>
  <c r="F199" i="13"/>
  <c r="F200" i="13"/>
  <c r="F201" i="13"/>
  <c r="F202" i="13"/>
  <c r="F203" i="13"/>
  <c r="F204" i="13"/>
  <c r="F205" i="13"/>
  <c r="F206" i="13"/>
  <c r="F207" i="13"/>
  <c r="F208" i="13"/>
  <c r="F209" i="13"/>
  <c r="F210" i="13"/>
  <c r="F211" i="13"/>
  <c r="F212" i="13"/>
  <c r="F213" i="13"/>
  <c r="F214" i="13"/>
  <c r="F215" i="13"/>
  <c r="F216" i="13"/>
  <c r="F217" i="13"/>
  <c r="F218" i="13"/>
  <c r="F219" i="13"/>
  <c r="F220" i="13"/>
  <c r="F221" i="13"/>
  <c r="F222" i="13"/>
  <c r="F223" i="13"/>
  <c r="F224" i="13"/>
  <c r="F225" i="13"/>
  <c r="F226" i="13"/>
  <c r="F227" i="13"/>
  <c r="F228" i="13"/>
  <c r="F229" i="13"/>
  <c r="F230" i="13"/>
  <c r="F231" i="13"/>
  <c r="F232" i="13"/>
  <c r="F233" i="13"/>
  <c r="F234" i="13"/>
  <c r="F235" i="13"/>
  <c r="F236" i="13"/>
  <c r="F237" i="13"/>
  <c r="F238" i="13"/>
  <c r="F239" i="13"/>
  <c r="F240" i="13"/>
  <c r="F241" i="13"/>
  <c r="F242" i="13"/>
  <c r="F243" i="13"/>
  <c r="F244" i="13"/>
  <c r="F245" i="13"/>
  <c r="F246" i="13"/>
  <c r="F247" i="13"/>
  <c r="F248" i="13"/>
  <c r="F249" i="13"/>
  <c r="F250" i="13"/>
  <c r="F251" i="13"/>
  <c r="F252" i="13"/>
  <c r="F253" i="13"/>
  <c r="F254" i="13"/>
  <c r="F255" i="13"/>
  <c r="F256" i="13"/>
  <c r="F257" i="13"/>
  <c r="F258" i="13"/>
  <c r="F259" i="13"/>
  <c r="F260" i="13"/>
  <c r="F261" i="13"/>
  <c r="F262" i="13"/>
  <c r="F263" i="13"/>
  <c r="F264" i="13"/>
  <c r="F265" i="13"/>
  <c r="F266" i="13"/>
  <c r="F267" i="13"/>
  <c r="F268" i="13"/>
  <c r="F269" i="13"/>
  <c r="F270" i="13"/>
  <c r="F271" i="13"/>
  <c r="F272" i="13"/>
  <c r="F273" i="13"/>
  <c r="F274" i="13"/>
  <c r="F275" i="13"/>
  <c r="F276" i="13"/>
  <c r="F277" i="13"/>
  <c r="F278" i="13"/>
  <c r="F279" i="13"/>
  <c r="F280" i="13"/>
  <c r="F281" i="13"/>
  <c r="F282" i="13"/>
  <c r="F283" i="13"/>
  <c r="F284" i="13"/>
  <c r="F285" i="13"/>
  <c r="F286" i="13"/>
  <c r="F287" i="13"/>
  <c r="F288" i="13"/>
  <c r="F289" i="13"/>
  <c r="F290" i="13"/>
  <c r="F291" i="13"/>
  <c r="F292" i="13"/>
  <c r="F293" i="13"/>
  <c r="F294" i="13"/>
  <c r="F295" i="13"/>
  <c r="F296" i="13"/>
  <c r="F297" i="13"/>
  <c r="F298" i="13"/>
  <c r="F299" i="13"/>
  <c r="F300" i="13"/>
  <c r="F301" i="13"/>
  <c r="F302" i="13"/>
  <c r="F303" i="13"/>
  <c r="F304" i="13"/>
  <c r="F305" i="13"/>
  <c r="F306" i="13"/>
  <c r="F307" i="13"/>
  <c r="F308" i="13"/>
  <c r="F309" i="13"/>
  <c r="F310" i="13"/>
  <c r="F311" i="13"/>
  <c r="F312" i="13"/>
  <c r="F313" i="13"/>
  <c r="F314" i="13"/>
  <c r="F315" i="13"/>
  <c r="F316" i="13"/>
  <c r="F317" i="13"/>
  <c r="F318" i="13"/>
  <c r="F319" i="13"/>
  <c r="F320" i="13"/>
  <c r="F321" i="13"/>
  <c r="F322" i="13"/>
  <c r="F323" i="13"/>
  <c r="F324" i="13"/>
  <c r="F325" i="13"/>
  <c r="F326" i="13"/>
  <c r="F327" i="13"/>
  <c r="F328" i="13"/>
  <c r="F329" i="13"/>
  <c r="F330" i="13"/>
  <c r="F331" i="13"/>
  <c r="F332" i="13"/>
  <c r="F333" i="13"/>
  <c r="F334" i="13"/>
  <c r="F335" i="13"/>
  <c r="F336" i="13"/>
  <c r="F337" i="13"/>
  <c r="F338" i="13"/>
  <c r="F339" i="13"/>
  <c r="F340" i="13"/>
  <c r="F341" i="13"/>
  <c r="F342" i="13"/>
  <c r="F343" i="13"/>
  <c r="F344" i="13"/>
  <c r="F345" i="13"/>
  <c r="F346" i="13"/>
  <c r="F347" i="13"/>
  <c r="F348" i="13"/>
  <c r="F349" i="13"/>
  <c r="F350" i="13"/>
  <c r="F351" i="13"/>
  <c r="F352" i="13"/>
  <c r="F353" i="13"/>
  <c r="F354" i="13"/>
  <c r="F355" i="13"/>
  <c r="F356" i="13"/>
  <c r="F357" i="13"/>
  <c r="F358" i="13"/>
  <c r="F359" i="13"/>
  <c r="F360" i="13"/>
  <c r="F361" i="13"/>
  <c r="F362" i="13"/>
  <c r="F363" i="13"/>
  <c r="F364" i="13"/>
  <c r="F365" i="13"/>
  <c r="F366" i="13"/>
  <c r="F367" i="13"/>
  <c r="F368" i="13"/>
  <c r="F369" i="13"/>
  <c r="F370" i="13"/>
  <c r="F371" i="13"/>
  <c r="F372" i="13"/>
  <c r="F373" i="13"/>
  <c r="F374" i="13"/>
  <c r="F375" i="13"/>
  <c r="F376" i="13"/>
  <c r="F377" i="13"/>
  <c r="F378" i="13"/>
  <c r="F379" i="13"/>
  <c r="F380" i="13"/>
  <c r="F381" i="13"/>
  <c r="F382" i="13"/>
  <c r="F383" i="13"/>
  <c r="F384" i="13"/>
  <c r="F385" i="13"/>
  <c r="F386" i="13"/>
  <c r="F387" i="13"/>
  <c r="F388" i="13"/>
  <c r="F389" i="13"/>
  <c r="F390" i="13"/>
  <c r="F391" i="13"/>
  <c r="F392" i="13"/>
  <c r="F393" i="13"/>
  <c r="F394" i="13"/>
  <c r="F395" i="13"/>
  <c r="F396" i="13"/>
  <c r="F397" i="13"/>
  <c r="F398" i="13"/>
  <c r="F399" i="13"/>
  <c r="F400" i="13"/>
  <c r="F401" i="13"/>
  <c r="F402" i="13"/>
  <c r="F403" i="13"/>
  <c r="F404" i="13"/>
  <c r="F405" i="13"/>
  <c r="F406" i="13"/>
  <c r="F407" i="13"/>
  <c r="F408" i="13"/>
  <c r="F409" i="13"/>
  <c r="F410" i="13"/>
  <c r="F411" i="13"/>
  <c r="F412" i="13"/>
  <c r="F413" i="13"/>
  <c r="F414" i="13"/>
  <c r="F415" i="13"/>
  <c r="F416" i="13"/>
  <c r="F417" i="13"/>
  <c r="F418" i="13"/>
  <c r="F419" i="13"/>
  <c r="F420" i="13"/>
  <c r="F421" i="13"/>
  <c r="F422" i="13"/>
  <c r="F423" i="13"/>
  <c r="F424" i="13"/>
  <c r="F425" i="13"/>
  <c r="F426" i="13"/>
  <c r="F427" i="13"/>
  <c r="F428" i="13"/>
  <c r="F429" i="13"/>
  <c r="F430" i="13"/>
  <c r="F431" i="13"/>
  <c r="F432" i="13"/>
  <c r="F433" i="13"/>
  <c r="F159" i="13"/>
  <c r="F39" i="13"/>
  <c r="F40" i="13"/>
  <c r="F41" i="13"/>
  <c r="F38" i="13"/>
  <c r="F459" i="13" l="1"/>
  <c r="F42" i="13"/>
  <c r="F434" i="13"/>
  <c r="F38" i="11"/>
  <c r="B95" i="27" l="1"/>
  <c r="C95" i="27"/>
  <c r="D95" i="27"/>
  <c r="E95" i="27"/>
  <c r="D96" i="27"/>
  <c r="B84" i="27"/>
  <c r="C84" i="27"/>
  <c r="D84" i="27"/>
  <c r="E84" i="27"/>
  <c r="E64" i="27" s="1"/>
  <c r="D85" i="27"/>
  <c r="B75" i="27"/>
  <c r="C75" i="27"/>
  <c r="D75" i="27"/>
  <c r="E75" i="27"/>
  <c r="D76" i="27"/>
  <c r="B64" i="27"/>
  <c r="C64" i="27"/>
  <c r="D64" i="27"/>
  <c r="D65" i="27"/>
  <c r="C54" i="27"/>
  <c r="D54" i="27"/>
  <c r="D55" i="27"/>
  <c r="B54" i="27"/>
  <c r="F42" i="27"/>
  <c r="D127" i="11"/>
  <c r="E127" i="11"/>
  <c r="D128" i="11"/>
  <c r="E128" i="11"/>
  <c r="F128" i="11" s="1"/>
  <c r="D129" i="11"/>
  <c r="E129" i="11"/>
  <c r="D130" i="11"/>
  <c r="E130" i="11"/>
  <c r="D93" i="11"/>
  <c r="E93" i="11"/>
  <c r="D94" i="11"/>
  <c r="E94" i="11"/>
  <c r="D95" i="11"/>
  <c r="E95" i="11"/>
  <c r="D96" i="11"/>
  <c r="E96" i="11"/>
  <c r="D74" i="11"/>
  <c r="D75" i="11"/>
  <c r="D76" i="11"/>
  <c r="D77" i="11"/>
  <c r="D58" i="11"/>
  <c r="D59" i="11"/>
  <c r="D60" i="11"/>
  <c r="D61" i="11"/>
  <c r="D109" i="11"/>
  <c r="E109" i="11"/>
  <c r="E58" i="11" s="1"/>
  <c r="D110" i="11"/>
  <c r="E110" i="11"/>
  <c r="E59" i="11" s="1"/>
  <c r="D111" i="11"/>
  <c r="E111" i="11"/>
  <c r="E60" i="11" s="1"/>
  <c r="D112" i="11"/>
  <c r="E112" i="11"/>
  <c r="E61" i="11" s="1"/>
  <c r="F41" i="11"/>
  <c r="F40" i="11"/>
  <c r="F39" i="11"/>
  <c r="C9" i="13"/>
  <c r="C10" i="13"/>
  <c r="C8" i="13"/>
  <c r="C13" i="10"/>
  <c r="F150" i="27"/>
  <c r="F149" i="27"/>
  <c r="F148" i="27"/>
  <c r="F138" i="27"/>
  <c r="F137" i="27"/>
  <c r="F136" i="27"/>
  <c r="F131" i="27"/>
  <c r="F132" i="27" s="1"/>
  <c r="G128" i="27" s="1"/>
  <c r="F122" i="27"/>
  <c r="F121" i="27"/>
  <c r="F120" i="27"/>
  <c r="F119" i="27"/>
  <c r="F118" i="27"/>
  <c r="F117" i="27"/>
  <c r="F116" i="27"/>
  <c r="F115" i="27"/>
  <c r="F114" i="27"/>
  <c r="F113" i="27"/>
  <c r="F112" i="27"/>
  <c r="F111" i="27"/>
  <c r="F105" i="27"/>
  <c r="F106" i="27" s="1"/>
  <c r="G102" i="27" s="1"/>
  <c r="E96" i="27"/>
  <c r="C96" i="27"/>
  <c r="B96" i="27"/>
  <c r="E85" i="27"/>
  <c r="E65" i="27" s="1"/>
  <c r="C85" i="27"/>
  <c r="B85" i="27"/>
  <c r="E76" i="27"/>
  <c r="C76" i="27"/>
  <c r="B76" i="27"/>
  <c r="C65" i="27"/>
  <c r="B65" i="27"/>
  <c r="C55" i="27"/>
  <c r="B55" i="27"/>
  <c r="F43" i="27"/>
  <c r="G18" i="27"/>
  <c r="B18" i="27"/>
  <c r="B17" i="27"/>
  <c r="B16" i="27"/>
  <c r="B15" i="27"/>
  <c r="C9" i="27"/>
  <c r="C8" i="27"/>
  <c r="C7" i="27"/>
  <c r="C6" i="27"/>
  <c r="F84" i="27" l="1"/>
  <c r="E54" i="27"/>
  <c r="F54" i="27" s="1"/>
  <c r="F44" i="27"/>
  <c r="G35" i="27" s="1"/>
  <c r="F64" i="27"/>
  <c r="F95" i="27"/>
  <c r="E55" i="27"/>
  <c r="F55" i="27" s="1"/>
  <c r="F129" i="11"/>
  <c r="F75" i="27"/>
  <c r="F127" i="11"/>
  <c r="C11" i="13"/>
  <c r="E75" i="11"/>
  <c r="F75" i="11" s="1"/>
  <c r="F130" i="11"/>
  <c r="F96" i="11"/>
  <c r="F95" i="11"/>
  <c r="F93" i="11"/>
  <c r="E77" i="11"/>
  <c r="F77" i="11" s="1"/>
  <c r="F94" i="11"/>
  <c r="F110" i="11"/>
  <c r="F59" i="11"/>
  <c r="E76" i="11"/>
  <c r="F76" i="11" s="1"/>
  <c r="E74" i="11"/>
  <c r="F74" i="11" s="1"/>
  <c r="F60" i="11"/>
  <c r="F61" i="11"/>
  <c r="F58" i="11"/>
  <c r="F112" i="11"/>
  <c r="F111" i="11"/>
  <c r="F109" i="11"/>
  <c r="F139" i="27"/>
  <c r="G134" i="27" s="1"/>
  <c r="G126" i="27" s="1"/>
  <c r="G17" i="27" s="1"/>
  <c r="F123" i="27"/>
  <c r="G108" i="27" s="1"/>
  <c r="G99" i="27" s="1"/>
  <c r="G16" i="27" s="1"/>
  <c r="F85" i="27"/>
  <c r="F151" i="27"/>
  <c r="G143" i="27" s="1"/>
  <c r="F65" i="27"/>
  <c r="F76" i="27"/>
  <c r="F96" i="27"/>
  <c r="E137" i="16"/>
  <c r="F77" i="27" l="1"/>
  <c r="F66" i="27"/>
  <c r="F86" i="27"/>
  <c r="F56" i="27"/>
  <c r="F97" i="27"/>
  <c r="G90" i="27" s="1"/>
  <c r="G88" i="27" s="1"/>
  <c r="G47" i="27" l="1"/>
  <c r="G68" i="27"/>
  <c r="G33" i="27" l="1"/>
  <c r="G15" i="27" s="1"/>
  <c r="G19" i="27" s="1"/>
  <c r="G154" i="27" s="1"/>
  <c r="F199" i="11"/>
  <c r="F154" i="12"/>
  <c r="F137" i="16"/>
  <c r="F144" i="11"/>
  <c r="F143" i="11"/>
  <c r="D19" i="10"/>
  <c r="H19" i="10"/>
  <c r="G20" i="10"/>
  <c r="K20" i="10" s="1"/>
  <c r="F466" i="13"/>
  <c r="F465" i="13"/>
  <c r="F151" i="13"/>
  <c r="F150" i="13"/>
  <c r="F149" i="13"/>
  <c r="F148" i="13"/>
  <c r="F147" i="13"/>
  <c r="F146" i="13"/>
  <c r="F145" i="13"/>
  <c r="F139" i="13"/>
  <c r="F138" i="13"/>
  <c r="F137" i="13"/>
  <c r="F136" i="13"/>
  <c r="E130" i="13"/>
  <c r="F130" i="13" s="1"/>
  <c r="B130" i="13"/>
  <c r="E129" i="13"/>
  <c r="F129" i="13" s="1"/>
  <c r="B129" i="13"/>
  <c r="E128" i="13"/>
  <c r="F128" i="13" s="1"/>
  <c r="B128" i="13"/>
  <c r="E120" i="13"/>
  <c r="F120" i="13" s="1"/>
  <c r="B120" i="13"/>
  <c r="E119" i="13"/>
  <c r="F119" i="13" s="1"/>
  <c r="B119" i="13"/>
  <c r="E118" i="13"/>
  <c r="F118" i="13" s="1"/>
  <c r="B118" i="13"/>
  <c r="E110" i="13"/>
  <c r="F110" i="13" s="1"/>
  <c r="B110" i="13"/>
  <c r="E109" i="13"/>
  <c r="F109" i="13" s="1"/>
  <c r="B109" i="13"/>
  <c r="E108" i="13"/>
  <c r="F108" i="13" s="1"/>
  <c r="B108" i="13"/>
  <c r="E98" i="13"/>
  <c r="F98" i="13" s="1"/>
  <c r="B98" i="13"/>
  <c r="E97" i="13"/>
  <c r="F97" i="13" s="1"/>
  <c r="B97" i="13"/>
  <c r="E96" i="13"/>
  <c r="F96" i="13" s="1"/>
  <c r="B96" i="13"/>
  <c r="E86" i="13"/>
  <c r="F86" i="13" s="1"/>
  <c r="B86" i="13"/>
  <c r="E85" i="13"/>
  <c r="F85" i="13" s="1"/>
  <c r="B85" i="13"/>
  <c r="E84" i="13"/>
  <c r="F84" i="13" s="1"/>
  <c r="B84" i="13"/>
  <c r="E75" i="13"/>
  <c r="F75" i="13" s="1"/>
  <c r="B75" i="13"/>
  <c r="E74" i="13"/>
  <c r="F74" i="13" s="1"/>
  <c r="B74" i="13"/>
  <c r="E73" i="13"/>
  <c r="F73" i="13" s="1"/>
  <c r="B73" i="13"/>
  <c r="E61" i="13"/>
  <c r="F61" i="13" s="1"/>
  <c r="B61" i="13"/>
  <c r="E60" i="13"/>
  <c r="F60" i="13" s="1"/>
  <c r="B60" i="13"/>
  <c r="E59" i="13"/>
  <c r="F59" i="13" s="1"/>
  <c r="B59" i="13"/>
  <c r="E51" i="13"/>
  <c r="F51" i="13" s="1"/>
  <c r="B51" i="13"/>
  <c r="E50" i="13"/>
  <c r="F50" i="13" s="1"/>
  <c r="B50" i="13"/>
  <c r="E49" i="13"/>
  <c r="F49" i="13" s="1"/>
  <c r="B49" i="13"/>
  <c r="B19" i="13"/>
  <c r="B18" i="13"/>
  <c r="B17" i="13"/>
  <c r="B16" i="13"/>
  <c r="C7" i="13"/>
  <c r="C6" i="13"/>
  <c r="G19" i="13"/>
  <c r="C19" i="10" s="1"/>
  <c r="E96" i="12"/>
  <c r="D96" i="12"/>
  <c r="C96" i="12"/>
  <c r="B96" i="12"/>
  <c r="E84" i="12"/>
  <c r="C84" i="12"/>
  <c r="B84" i="12"/>
  <c r="E74" i="12"/>
  <c r="C62" i="12"/>
  <c r="B62" i="12"/>
  <c r="B74" i="12" s="1"/>
  <c r="D52" i="12"/>
  <c r="D62" i="12" s="1"/>
  <c r="D74" i="12" s="1"/>
  <c r="D84" i="12" s="1"/>
  <c r="F84" i="12" s="1"/>
  <c r="C52" i="12"/>
  <c r="B52" i="12"/>
  <c r="F39" i="12"/>
  <c r="F119" i="12"/>
  <c r="F155" i="11"/>
  <c r="F154" i="11"/>
  <c r="D132" i="11"/>
  <c r="D114" i="11"/>
  <c r="D98" i="11"/>
  <c r="D79" i="11"/>
  <c r="D63" i="11"/>
  <c r="C114" i="11"/>
  <c r="C98" i="11"/>
  <c r="C79" i="11"/>
  <c r="C80" i="11"/>
  <c r="C63" i="11"/>
  <c r="F138" i="16"/>
  <c r="F139" i="16" s="1"/>
  <c r="G134" i="16" s="1"/>
  <c r="G126" i="16" s="1"/>
  <c r="G17" i="16" s="1"/>
  <c r="F136" i="16"/>
  <c r="E98" i="11"/>
  <c r="E114" i="11"/>
  <c r="E79" i="11" s="1"/>
  <c r="E132" i="11"/>
  <c r="F43" i="11"/>
  <c r="F144" i="12"/>
  <c r="F145" i="12" s="1"/>
  <c r="E54" i="22"/>
  <c r="E55" i="22"/>
  <c r="C18" i="22"/>
  <c r="B18" i="22"/>
  <c r="F37" i="22"/>
  <c r="F38" i="22" s="1"/>
  <c r="G32" i="22" s="1"/>
  <c r="G29" i="22" s="1"/>
  <c r="B17" i="21"/>
  <c r="B16" i="21"/>
  <c r="B15" i="21"/>
  <c r="B14" i="21"/>
  <c r="B17" i="22"/>
  <c r="B16" i="22"/>
  <c r="B15" i="22"/>
  <c r="B14" i="22"/>
  <c r="B18" i="16"/>
  <c r="B17" i="16"/>
  <c r="B16" i="16"/>
  <c r="B15" i="16"/>
  <c r="B17" i="12"/>
  <c r="B16" i="12"/>
  <c r="B15" i="12"/>
  <c r="B14" i="12"/>
  <c r="B18" i="11"/>
  <c r="B17" i="11"/>
  <c r="B16" i="11"/>
  <c r="B15" i="11"/>
  <c r="C9" i="22"/>
  <c r="C8" i="22"/>
  <c r="C7" i="22"/>
  <c r="C6" i="22"/>
  <c r="C5" i="22"/>
  <c r="C4" i="22"/>
  <c r="C9" i="11"/>
  <c r="C8" i="11"/>
  <c r="C7" i="11"/>
  <c r="C6" i="11"/>
  <c r="C50" i="12"/>
  <c r="F177" i="11"/>
  <c r="F176" i="11"/>
  <c r="F175" i="11"/>
  <c r="E35" i="21"/>
  <c r="E57" i="21"/>
  <c r="F161" i="22"/>
  <c r="F160" i="22"/>
  <c r="F159" i="22"/>
  <c r="F174" i="22"/>
  <c r="F173" i="22"/>
  <c r="F172" i="22"/>
  <c r="F152" i="22"/>
  <c r="F151" i="22"/>
  <c r="F150" i="22"/>
  <c r="F149" i="22"/>
  <c r="F148" i="22"/>
  <c r="F147" i="22"/>
  <c r="F146" i="22"/>
  <c r="F145" i="22"/>
  <c r="F144" i="22"/>
  <c r="F143" i="22"/>
  <c r="F142" i="22"/>
  <c r="F141" i="22"/>
  <c r="F140" i="22"/>
  <c r="F139" i="22"/>
  <c r="F138" i="22"/>
  <c r="F137" i="22"/>
  <c r="F136" i="22"/>
  <c r="F135" i="22"/>
  <c r="F134" i="22"/>
  <c r="F133" i="22"/>
  <c r="F132" i="22"/>
  <c r="F126" i="22"/>
  <c r="F125" i="22"/>
  <c r="F124" i="22"/>
  <c r="F117" i="22"/>
  <c r="F116" i="22"/>
  <c r="F118" i="22" s="1"/>
  <c r="G113" i="22" s="1"/>
  <c r="D108" i="22"/>
  <c r="C108" i="22"/>
  <c r="B108" i="22"/>
  <c r="D107" i="22"/>
  <c r="C107" i="22"/>
  <c r="B107" i="22"/>
  <c r="D97" i="22"/>
  <c r="C97" i="22"/>
  <c r="B97" i="22"/>
  <c r="D96" i="22"/>
  <c r="C96" i="22"/>
  <c r="B96" i="22"/>
  <c r="D88" i="22"/>
  <c r="C88" i="22"/>
  <c r="B88" i="22"/>
  <c r="D87" i="22"/>
  <c r="C87" i="22"/>
  <c r="B87" i="22"/>
  <c r="D77" i="22"/>
  <c r="C77" i="22"/>
  <c r="B77" i="22"/>
  <c r="D76" i="22"/>
  <c r="C76" i="22"/>
  <c r="B76" i="22"/>
  <c r="D67" i="22"/>
  <c r="C67" i="22"/>
  <c r="B67" i="22"/>
  <c r="D66" i="22"/>
  <c r="C66" i="22"/>
  <c r="B66" i="22"/>
  <c r="F105" i="16"/>
  <c r="F106" i="16"/>
  <c r="G102" i="16" s="1"/>
  <c r="G17" i="22"/>
  <c r="D96" i="16"/>
  <c r="D95" i="16"/>
  <c r="C96" i="16"/>
  <c r="C95" i="16"/>
  <c r="B96" i="16"/>
  <c r="D85" i="16"/>
  <c r="D84" i="16"/>
  <c r="C85" i="16"/>
  <c r="C84" i="16"/>
  <c r="B85" i="16"/>
  <c r="D76" i="16"/>
  <c r="D75" i="16"/>
  <c r="C76" i="16"/>
  <c r="C75" i="16"/>
  <c r="B76" i="16"/>
  <c r="D65" i="16"/>
  <c r="D64" i="16"/>
  <c r="C65" i="16"/>
  <c r="C64" i="16"/>
  <c r="B65" i="16"/>
  <c r="D55" i="16"/>
  <c r="B55" i="16"/>
  <c r="C55" i="16"/>
  <c r="C54" i="16"/>
  <c r="E75" i="16"/>
  <c r="D95" i="12"/>
  <c r="D94" i="12"/>
  <c r="C95" i="12"/>
  <c r="C94" i="12"/>
  <c r="B95" i="12"/>
  <c r="C83" i="12"/>
  <c r="C82" i="12"/>
  <c r="B83" i="12"/>
  <c r="C73" i="12"/>
  <c r="C72" i="12"/>
  <c r="B73" i="12"/>
  <c r="C61" i="12"/>
  <c r="C60" i="12"/>
  <c r="B61" i="12"/>
  <c r="C51" i="12"/>
  <c r="C74" i="12" s="1"/>
  <c r="B51" i="12"/>
  <c r="E83" i="12"/>
  <c r="E94" i="12"/>
  <c r="E100" i="11"/>
  <c r="E99" i="11"/>
  <c r="E97" i="11"/>
  <c r="D60" i="12"/>
  <c r="D51" i="12"/>
  <c r="D61" i="12" s="1"/>
  <c r="D73" i="12" s="1"/>
  <c r="D83" i="12" s="1"/>
  <c r="F162" i="21"/>
  <c r="F163" i="21"/>
  <c r="F164" i="21"/>
  <c r="F165" i="21"/>
  <c r="F166" i="21"/>
  <c r="F167" i="21"/>
  <c r="F168" i="21"/>
  <c r="F169" i="21"/>
  <c r="F170" i="21"/>
  <c r="F171" i="21"/>
  <c r="F172" i="21"/>
  <c r="F173" i="21"/>
  <c r="F174" i="21"/>
  <c r="F175" i="21"/>
  <c r="F141" i="21"/>
  <c r="F142" i="21"/>
  <c r="F143" i="21"/>
  <c r="F144" i="21"/>
  <c r="F145" i="21"/>
  <c r="F146" i="21"/>
  <c r="F147" i="21"/>
  <c r="F148" i="21"/>
  <c r="F149" i="21"/>
  <c r="F150" i="21"/>
  <c r="F151" i="21"/>
  <c r="F152" i="21"/>
  <c r="F153" i="21"/>
  <c r="F154" i="21"/>
  <c r="F155" i="21"/>
  <c r="F156" i="21"/>
  <c r="F157" i="21"/>
  <c r="F158" i="21"/>
  <c r="F159" i="21"/>
  <c r="F160" i="21"/>
  <c r="F161" i="21"/>
  <c r="F121" i="21"/>
  <c r="F122" i="21"/>
  <c r="F123" i="21"/>
  <c r="F124" i="21"/>
  <c r="F125" i="21"/>
  <c r="F126" i="21"/>
  <c r="F127" i="21"/>
  <c r="F128" i="21"/>
  <c r="F129" i="21"/>
  <c r="F130" i="21"/>
  <c r="F131" i="21"/>
  <c r="F132" i="21"/>
  <c r="F133" i="21"/>
  <c r="F134" i="21"/>
  <c r="F135" i="21"/>
  <c r="F136" i="21"/>
  <c r="F137" i="21"/>
  <c r="F138" i="21"/>
  <c r="F139" i="21"/>
  <c r="F140" i="21"/>
  <c r="F99" i="21"/>
  <c r="F100" i="21"/>
  <c r="F101" i="21"/>
  <c r="F102" i="21"/>
  <c r="F103" i="21"/>
  <c r="F104" i="21"/>
  <c r="F105" i="21"/>
  <c r="F106" i="21"/>
  <c r="F107" i="21"/>
  <c r="F108" i="21"/>
  <c r="F109" i="21"/>
  <c r="F110" i="21"/>
  <c r="F111" i="21"/>
  <c r="F112" i="21"/>
  <c r="F113" i="21"/>
  <c r="F114" i="21"/>
  <c r="F115" i="21"/>
  <c r="F116" i="21"/>
  <c r="F117" i="21"/>
  <c r="F118" i="21"/>
  <c r="F119" i="21"/>
  <c r="F120" i="21"/>
  <c r="F98" i="21"/>
  <c r="C77" i="21"/>
  <c r="D47" i="21"/>
  <c r="G18" i="16"/>
  <c r="I19" i="10" s="1"/>
  <c r="D54" i="16"/>
  <c r="F184" i="21"/>
  <c r="F185" i="21"/>
  <c r="C57" i="21"/>
  <c r="F196" i="21"/>
  <c r="F195" i="21"/>
  <c r="F194" i="21"/>
  <c r="F183" i="21"/>
  <c r="B88" i="21"/>
  <c r="E78" i="21"/>
  <c r="C78" i="21"/>
  <c r="B77" i="21"/>
  <c r="B68" i="21"/>
  <c r="B57" i="21"/>
  <c r="B47" i="21"/>
  <c r="C9" i="21"/>
  <c r="C8" i="21"/>
  <c r="C7" i="21"/>
  <c r="C6" i="21"/>
  <c r="C5" i="21"/>
  <c r="C4" i="21"/>
  <c r="B94" i="12"/>
  <c r="B82" i="12"/>
  <c r="B72" i="12"/>
  <c r="B95" i="16"/>
  <c r="B84" i="16"/>
  <c r="B75" i="16"/>
  <c r="B64" i="16"/>
  <c r="B54" i="16"/>
  <c r="F42" i="16"/>
  <c r="F155" i="12"/>
  <c r="F153" i="12"/>
  <c r="C6" i="16"/>
  <c r="C7" i="16"/>
  <c r="C8" i="16"/>
  <c r="C9" i="16"/>
  <c r="F111" i="16"/>
  <c r="F112" i="16"/>
  <c r="F113" i="16"/>
  <c r="F114" i="16"/>
  <c r="F115" i="16"/>
  <c r="F116" i="16"/>
  <c r="F117" i="16"/>
  <c r="F120" i="16"/>
  <c r="E85" i="16"/>
  <c r="F131" i="16"/>
  <c r="F132" i="16" s="1"/>
  <c r="G128" i="16" s="1"/>
  <c r="F118" i="16"/>
  <c r="F119" i="16"/>
  <c r="F121" i="16"/>
  <c r="F122" i="16"/>
  <c r="F148" i="16"/>
  <c r="F151" i="16" s="1"/>
  <c r="G143" i="16" s="1"/>
  <c r="F149" i="16"/>
  <c r="F150" i="16"/>
  <c r="D57" i="11"/>
  <c r="E82" i="12"/>
  <c r="C126" i="11"/>
  <c r="C131" i="11"/>
  <c r="C133" i="11"/>
  <c r="C134" i="11"/>
  <c r="C92" i="11"/>
  <c r="C97" i="11"/>
  <c r="C99" i="11"/>
  <c r="C100" i="11"/>
  <c r="C108" i="11"/>
  <c r="C113" i="11"/>
  <c r="C115" i="11"/>
  <c r="C116" i="11"/>
  <c r="C57" i="11"/>
  <c r="C62" i="11"/>
  <c r="C64" i="11"/>
  <c r="C65" i="11"/>
  <c r="C73" i="11"/>
  <c r="C78" i="11"/>
  <c r="C81" i="11"/>
  <c r="F156" i="11"/>
  <c r="F157" i="11"/>
  <c r="F158" i="11"/>
  <c r="F159" i="11"/>
  <c r="F160" i="11"/>
  <c r="F161" i="11"/>
  <c r="F162" i="11"/>
  <c r="F163" i="11"/>
  <c r="F164" i="11"/>
  <c r="F165" i="11"/>
  <c r="F166" i="11"/>
  <c r="F167" i="11"/>
  <c r="F168" i="11"/>
  <c r="F169" i="11"/>
  <c r="F170" i="11"/>
  <c r="F171" i="11"/>
  <c r="F172" i="11"/>
  <c r="F173" i="11"/>
  <c r="F174" i="11"/>
  <c r="F178" i="11"/>
  <c r="F179" i="11"/>
  <c r="F180" i="11"/>
  <c r="F181" i="11"/>
  <c r="F182" i="11"/>
  <c r="F183" i="11"/>
  <c r="F193" i="11"/>
  <c r="F194" i="11" s="1"/>
  <c r="G190" i="11" s="1"/>
  <c r="F200" i="11"/>
  <c r="F201" i="11" s="1"/>
  <c r="G196" i="11" s="1"/>
  <c r="B126" i="11"/>
  <c r="B131" i="11"/>
  <c r="B133" i="11"/>
  <c r="B134" i="11"/>
  <c r="B108" i="11"/>
  <c r="B113" i="11"/>
  <c r="B115" i="11"/>
  <c r="B116" i="11"/>
  <c r="B92" i="11"/>
  <c r="B97" i="11"/>
  <c r="B99" i="11"/>
  <c r="B100" i="11"/>
  <c r="B73" i="11"/>
  <c r="B78" i="11"/>
  <c r="B80" i="11"/>
  <c r="B81" i="11"/>
  <c r="B65" i="11"/>
  <c r="B64" i="11"/>
  <c r="B62" i="11"/>
  <c r="B57" i="11"/>
  <c r="F104" i="12"/>
  <c r="F105" i="12"/>
  <c r="F118" i="12"/>
  <c r="F120" i="12"/>
  <c r="F121" i="12"/>
  <c r="F122" i="12"/>
  <c r="F123" i="12"/>
  <c r="F124" i="12"/>
  <c r="F125" i="12"/>
  <c r="F126" i="12"/>
  <c r="F127" i="12"/>
  <c r="F128" i="12"/>
  <c r="F129" i="12"/>
  <c r="F130" i="12"/>
  <c r="F131" i="12"/>
  <c r="F132" i="12"/>
  <c r="F133" i="12"/>
  <c r="F134" i="12"/>
  <c r="F135" i="12"/>
  <c r="F136" i="12"/>
  <c r="F137" i="12"/>
  <c r="F113" i="12"/>
  <c r="F114" i="12" s="1"/>
  <c r="B60" i="12"/>
  <c r="B50" i="12"/>
  <c r="C9" i="12"/>
  <c r="C8" i="12"/>
  <c r="C7" i="12"/>
  <c r="C6" i="12"/>
  <c r="D126" i="11"/>
  <c r="D97" i="11"/>
  <c r="D131" i="11"/>
  <c r="D62" i="11"/>
  <c r="D113" i="11"/>
  <c r="D78" i="11"/>
  <c r="D78" i="21"/>
  <c r="D133" i="11"/>
  <c r="D99" i="11"/>
  <c r="D80" i="11"/>
  <c r="D64" i="11"/>
  <c r="D115" i="11"/>
  <c r="E95" i="12"/>
  <c r="D57" i="21"/>
  <c r="D68" i="21"/>
  <c r="D77" i="21" s="1"/>
  <c r="D88" i="21" s="1"/>
  <c r="F88" i="21" s="1"/>
  <c r="F90" i="21" s="1"/>
  <c r="G81" i="21" s="1"/>
  <c r="E96" i="16"/>
  <c r="E76" i="16"/>
  <c r="D81" i="11"/>
  <c r="D100" i="11"/>
  <c r="E84" i="16"/>
  <c r="E95" i="16"/>
  <c r="E72" i="12"/>
  <c r="F43" i="16"/>
  <c r="F44" i="16" s="1"/>
  <c r="G35" i="16" s="1"/>
  <c r="E77" i="22"/>
  <c r="E87" i="22"/>
  <c r="E88" i="22"/>
  <c r="F38" i="12"/>
  <c r="E73" i="12"/>
  <c r="F37" i="12"/>
  <c r="E113" i="11"/>
  <c r="E108" i="11"/>
  <c r="E57" i="11" s="1"/>
  <c r="E92" i="11"/>
  <c r="E126" i="11"/>
  <c r="E131" i="11"/>
  <c r="F42" i="11"/>
  <c r="E134" i="11"/>
  <c r="E116" i="11"/>
  <c r="E133" i="11"/>
  <c r="F44" i="11"/>
  <c r="E115" i="11"/>
  <c r="E80" i="11" s="1"/>
  <c r="E68" i="21"/>
  <c r="F68" i="21"/>
  <c r="F70" i="21" s="1"/>
  <c r="F35" i="21"/>
  <c r="F37" i="21" s="1"/>
  <c r="G28" i="21" s="1"/>
  <c r="E77" i="21"/>
  <c r="E47" i="21"/>
  <c r="F47" i="21" s="1"/>
  <c r="F49" i="21" s="1"/>
  <c r="E67" i="22"/>
  <c r="F67" i="22" s="1"/>
  <c r="E97" i="22"/>
  <c r="F97" i="22" s="1"/>
  <c r="F55" i="22"/>
  <c r="E108" i="22"/>
  <c r="E88" i="21"/>
  <c r="E66" i="22"/>
  <c r="F54" i="22"/>
  <c r="G141" i="12"/>
  <c r="E76" i="22"/>
  <c r="F76" i="22" s="1"/>
  <c r="E96" i="22"/>
  <c r="F96" i="22" s="1"/>
  <c r="E107" i="22"/>
  <c r="D92" i="11"/>
  <c r="F37" i="11"/>
  <c r="D108" i="11"/>
  <c r="D73" i="11"/>
  <c r="D134" i="11"/>
  <c r="D116" i="11"/>
  <c r="F45" i="11"/>
  <c r="D65" i="11"/>
  <c r="F107" i="22" l="1"/>
  <c r="F123" i="16"/>
  <c r="G108" i="16" s="1"/>
  <c r="F78" i="21"/>
  <c r="F186" i="21"/>
  <c r="G180" i="21" s="1"/>
  <c r="G178" i="21" s="1"/>
  <c r="G16" i="21" s="1"/>
  <c r="F176" i="21"/>
  <c r="G95" i="21" s="1"/>
  <c r="G93" i="21" s="1"/>
  <c r="G15" i="21" s="1"/>
  <c r="G26" i="25"/>
  <c r="F197" i="21"/>
  <c r="G189" i="21" s="1"/>
  <c r="F57" i="21"/>
  <c r="F59" i="21" s="1"/>
  <c r="F96" i="12"/>
  <c r="F76" i="16"/>
  <c r="F96" i="16"/>
  <c r="F94" i="12"/>
  <c r="F162" i="22"/>
  <c r="G156" i="22" s="1"/>
  <c r="F77" i="21"/>
  <c r="F79" i="21" s="1"/>
  <c r="G61" i="21" s="1"/>
  <c r="G26" i="21" s="1"/>
  <c r="G14" i="21" s="1"/>
  <c r="G18" i="21" s="1"/>
  <c r="G200" i="21" s="1"/>
  <c r="E60" i="12"/>
  <c r="F60" i="12" s="1"/>
  <c r="E50" i="12"/>
  <c r="F50" i="12" s="1"/>
  <c r="E62" i="12"/>
  <c r="F62" i="12" s="1"/>
  <c r="E52" i="12"/>
  <c r="F52" i="12" s="1"/>
  <c r="F77" i="22"/>
  <c r="E65" i="16"/>
  <c r="F65" i="16" s="1"/>
  <c r="E55" i="16"/>
  <c r="F55" i="16" s="1"/>
  <c r="G40" i="21"/>
  <c r="F56" i="22"/>
  <c r="G47" i="22" s="1"/>
  <c r="E64" i="16"/>
  <c r="F64" i="16" s="1"/>
  <c r="E54" i="16"/>
  <c r="F54" i="16" s="1"/>
  <c r="G31" i="13"/>
  <c r="G16" i="13" s="1"/>
  <c r="E61" i="12"/>
  <c r="F61" i="12" s="1"/>
  <c r="E51" i="12"/>
  <c r="F51" i="12" s="1"/>
  <c r="F98" i="11"/>
  <c r="F84" i="16"/>
  <c r="F73" i="12"/>
  <c r="F40" i="12"/>
  <c r="G32" i="12" s="1"/>
  <c r="G30" i="12" s="1"/>
  <c r="F146" i="11"/>
  <c r="G140" i="11" s="1"/>
  <c r="E63" i="11"/>
  <c r="F63" i="11" s="1"/>
  <c r="E73" i="11"/>
  <c r="F73" i="11" s="1"/>
  <c r="F92" i="11"/>
  <c r="E64" i="11"/>
  <c r="F64" i="11" s="1"/>
  <c r="F108" i="11"/>
  <c r="F126" i="11"/>
  <c r="E81" i="11"/>
  <c r="F97" i="11"/>
  <c r="E65" i="11"/>
  <c r="F65" i="11" s="1"/>
  <c r="F116" i="11"/>
  <c r="F114" i="11"/>
  <c r="F80" i="11"/>
  <c r="F115" i="11"/>
  <c r="F133" i="11"/>
  <c r="F81" i="11"/>
  <c r="F46" i="11"/>
  <c r="G30" i="11" s="1"/>
  <c r="F134" i="11"/>
  <c r="F57" i="11"/>
  <c r="D72" i="12"/>
  <c r="F74" i="12"/>
  <c r="F95" i="12"/>
  <c r="F75" i="16"/>
  <c r="F85" i="16"/>
  <c r="F95" i="16"/>
  <c r="F175" i="22"/>
  <c r="G167" i="22" s="1"/>
  <c r="G165" i="22" s="1"/>
  <c r="F98" i="22"/>
  <c r="G187" i="11"/>
  <c r="G17" i="11" s="1"/>
  <c r="D18" i="10" s="1"/>
  <c r="F131" i="11"/>
  <c r="F83" i="12"/>
  <c r="F99" i="11"/>
  <c r="F113" i="11"/>
  <c r="F138" i="12"/>
  <c r="G108" i="12" s="1"/>
  <c r="F88" i="22"/>
  <c r="F108" i="22"/>
  <c r="F109" i="22" s="1"/>
  <c r="G102" i="22" s="1"/>
  <c r="G100" i="22" s="1"/>
  <c r="F127" i="22"/>
  <c r="G121" i="22" s="1"/>
  <c r="G111" i="22" s="1"/>
  <c r="G15" i="22" s="1"/>
  <c r="F17" i="10" s="1"/>
  <c r="F154" i="22"/>
  <c r="G129" i="22" s="1"/>
  <c r="F132" i="11"/>
  <c r="F184" i="11"/>
  <c r="G151" i="11" s="1"/>
  <c r="G148" i="11" s="1"/>
  <c r="F100" i="11"/>
  <c r="G99" i="16"/>
  <c r="G16" i="16" s="1"/>
  <c r="I17" i="10" s="1"/>
  <c r="F66" i="22"/>
  <c r="F68" i="22" s="1"/>
  <c r="F87" i="22"/>
  <c r="F89" i="22" s="1"/>
  <c r="G80" i="22" s="1"/>
  <c r="I18" i="10"/>
  <c r="F467" i="13"/>
  <c r="G462" i="13" s="1"/>
  <c r="F140" i="13"/>
  <c r="G135" i="13" s="1"/>
  <c r="G437" i="13"/>
  <c r="G156" i="13"/>
  <c r="G17" i="13" s="1"/>
  <c r="C17" i="10" s="1"/>
  <c r="F87" i="13"/>
  <c r="F121" i="13"/>
  <c r="F76" i="13"/>
  <c r="F99" i="13"/>
  <c r="G91" i="13" s="1"/>
  <c r="F156" i="12"/>
  <c r="G150" i="12" s="1"/>
  <c r="G148" i="12" s="1"/>
  <c r="G16" i="12" s="1"/>
  <c r="H18" i="10" s="1"/>
  <c r="F106" i="12"/>
  <c r="G101" i="12" s="1"/>
  <c r="F78" i="22"/>
  <c r="E78" i="11"/>
  <c r="F78" i="11" s="1"/>
  <c r="E62" i="11"/>
  <c r="F62" i="11" s="1"/>
  <c r="F62" i="13"/>
  <c r="F152" i="13"/>
  <c r="G144" i="13" s="1"/>
  <c r="G16" i="22"/>
  <c r="F18" i="10" s="1"/>
  <c r="G41" i="22"/>
  <c r="G18" i="22"/>
  <c r="F20" i="10" s="1"/>
  <c r="F79" i="11"/>
  <c r="F52" i="13"/>
  <c r="F111" i="13"/>
  <c r="F131" i="13"/>
  <c r="F56" i="16" l="1"/>
  <c r="F97" i="16"/>
  <c r="G90" i="16" s="1"/>
  <c r="G88" i="16" s="1"/>
  <c r="F77" i="16"/>
  <c r="F66" i="16"/>
  <c r="F97" i="12"/>
  <c r="G89" i="12" s="1"/>
  <c r="G87" i="12" s="1"/>
  <c r="F135" i="11"/>
  <c r="G121" i="11" s="1"/>
  <c r="G119" i="11" s="1"/>
  <c r="F53" i="12"/>
  <c r="G45" i="12" s="1"/>
  <c r="G100" i="12"/>
  <c r="G15" i="12" s="1"/>
  <c r="H17" i="10" s="1"/>
  <c r="G18" i="13"/>
  <c r="C18" i="10" s="1"/>
  <c r="G18" i="10" s="1"/>
  <c r="K18" i="10" s="1"/>
  <c r="F86" i="16"/>
  <c r="G138" i="11"/>
  <c r="G16" i="11" s="1"/>
  <c r="D17" i="10" s="1"/>
  <c r="G17" i="10" s="1"/>
  <c r="F117" i="11"/>
  <c r="G103" i="11" s="1"/>
  <c r="F101" i="11"/>
  <c r="F82" i="11"/>
  <c r="G68" i="11" s="1"/>
  <c r="G32" i="11"/>
  <c r="F66" i="11"/>
  <c r="G52" i="11" s="1"/>
  <c r="F63" i="12"/>
  <c r="G55" i="12" s="1"/>
  <c r="D82" i="12"/>
  <c r="F82" i="12" s="1"/>
  <c r="F85" i="12" s="1"/>
  <c r="G77" i="12" s="1"/>
  <c r="F72" i="12"/>
  <c r="F75" i="12" s="1"/>
  <c r="G67" i="12" s="1"/>
  <c r="G59" i="22"/>
  <c r="G45" i="22" s="1"/>
  <c r="G14" i="22" s="1"/>
  <c r="G68" i="13"/>
  <c r="G103" i="13"/>
  <c r="C16" i="10"/>
  <c r="G68" i="16" l="1"/>
  <c r="G47" i="16"/>
  <c r="G33" i="16" s="1"/>
  <c r="G15" i="16" s="1"/>
  <c r="G19" i="16" s="1"/>
  <c r="G27" i="25" s="1"/>
  <c r="E19" i="10" s="1"/>
  <c r="K17" i="10"/>
  <c r="G43" i="12"/>
  <c r="G178" i="22"/>
  <c r="G20" i="13"/>
  <c r="J20" i="13" s="1"/>
  <c r="C21" i="10"/>
  <c r="J22" i="10" s="1"/>
  <c r="G65" i="12"/>
  <c r="G85" i="11"/>
  <c r="G87" i="11"/>
  <c r="G50" i="11"/>
  <c r="G19" i="22"/>
  <c r="G180" i="22" s="1"/>
  <c r="F16" i="10"/>
  <c r="F21" i="10" s="1"/>
  <c r="I16" i="10" l="1"/>
  <c r="I21" i="10" s="1"/>
  <c r="G28" i="12"/>
  <c r="G14" i="12" s="1"/>
  <c r="H16" i="10" s="1"/>
  <c r="H21" i="10" s="1"/>
  <c r="G15" i="25"/>
  <c r="J18" i="25" s="1"/>
  <c r="G471" i="13"/>
  <c r="G154" i="16"/>
  <c r="G28" i="11"/>
  <c r="G15" i="11" s="1"/>
  <c r="D16" i="10" s="1"/>
  <c r="G18" i="12" l="1"/>
  <c r="G158" i="12" s="1"/>
  <c r="G21" i="25" s="1"/>
  <c r="G19" i="11"/>
  <c r="G16" i="25" s="1"/>
  <c r="E16" i="25" s="1"/>
  <c r="D21" i="10"/>
  <c r="D22" i="10" s="1"/>
  <c r="G16" i="10"/>
  <c r="K19" i="11" l="1"/>
  <c r="K22" i="11" s="1"/>
  <c r="K25" i="11" s="1"/>
  <c r="G204" i="11"/>
  <c r="K16" i="10"/>
  <c r="G17" i="25" l="1"/>
  <c r="G19" i="25" s="1"/>
  <c r="J21" i="25" s="1"/>
  <c r="G23" i="25" l="1"/>
  <c r="G29" i="25" s="1"/>
  <c r="E21" i="25"/>
  <c r="G19" i="10"/>
  <c r="B31" i="25"/>
  <c r="E25" i="25" l="1"/>
  <c r="E27" i="25"/>
  <c r="E26" i="25"/>
  <c r="I154" i="16"/>
  <c r="I154" i="27"/>
  <c r="E21" i="10"/>
  <c r="K19" i="10"/>
  <c r="K21" i="10" s="1"/>
  <c r="L21" i="10" s="1"/>
  <c r="G21" i="10"/>
  <c r="H22" i="10" l="1"/>
  <c r="I22" i="10"/>
</calcChain>
</file>

<file path=xl/sharedStrings.xml><?xml version="1.0" encoding="utf-8"?>
<sst xmlns="http://schemas.openxmlformats.org/spreadsheetml/2006/main" count="2149" uniqueCount="655">
  <si>
    <t>S/.</t>
  </si>
  <si>
    <t xml:space="preserve"> </t>
  </si>
  <si>
    <t>UND</t>
  </si>
  <si>
    <t>TOTAL</t>
  </si>
  <si>
    <t>SUB TOTAL</t>
  </si>
  <si>
    <t>P.U.</t>
  </si>
  <si>
    <t>GLN</t>
  </si>
  <si>
    <t>ACEITE DE MOTOR</t>
  </si>
  <si>
    <t>PAR</t>
  </si>
  <si>
    <t>GLB</t>
  </si>
  <si>
    <t>COSTO DIRECTO</t>
  </si>
  <si>
    <t>RETRIBUCIONES COMPLEMENTARIAS-CONTRATOS A PLAZO FIJO</t>
  </si>
  <si>
    <t>01</t>
  </si>
  <si>
    <t>JORNAL</t>
  </si>
  <si>
    <t>COSTO</t>
  </si>
  <si>
    <t>02</t>
  </si>
  <si>
    <t>REFRIGERIO Y MOVILIDAD</t>
  </si>
  <si>
    <t>03</t>
  </si>
  <si>
    <t>BENEFICIOS (VACACIONES)</t>
  </si>
  <si>
    <t>65.11.11</t>
  </si>
  <si>
    <t>OBLIGACIONES DEL EMPLEADOR</t>
  </si>
  <si>
    <t>65.11.13</t>
  </si>
  <si>
    <t>GASTOS VARIABLES Y OCASIONALES</t>
  </si>
  <si>
    <t>65.11.23</t>
  </si>
  <si>
    <t>DESCRIPCION</t>
  </si>
  <si>
    <t>CANTIDAD</t>
  </si>
  <si>
    <t>GASOLINA (EQUIPO)</t>
  </si>
  <si>
    <t>GRASA MULTIPROPOSITO</t>
  </si>
  <si>
    <t>PETROLEO (MAQUINARIA)</t>
  </si>
  <si>
    <t>MATERIALES DE CONSTRUCCION</t>
  </si>
  <si>
    <t>UNIDAD</t>
  </si>
  <si>
    <t>CANT</t>
  </si>
  <si>
    <t>CANT.</t>
  </si>
  <si>
    <t>OTROS SERVICIOS</t>
  </si>
  <si>
    <t>65.11.51</t>
  </si>
  <si>
    <t>FTE.FTO</t>
  </si>
  <si>
    <t>CÓDIGO</t>
  </si>
  <si>
    <t>ESPECIFICA DE GASTOS</t>
  </si>
  <si>
    <t>G. GRALES</t>
  </si>
  <si>
    <t>65.11.22</t>
  </si>
  <si>
    <t>VESTUARIO</t>
  </si>
  <si>
    <t>TOTAL GASTOS GENERALES</t>
  </si>
  <si>
    <t>DESAGREGADO  DEL  PRESUPUESTO  ANALÍTICO</t>
  </si>
  <si>
    <t>GASTOS GENERALES</t>
  </si>
  <si>
    <t>DEL EMPLEADO EVENTUAL</t>
  </si>
  <si>
    <t>CARGO</t>
  </si>
  <si>
    <t>N° DE PERSONAS</t>
  </si>
  <si>
    <t>MESES</t>
  </si>
  <si>
    <t>SISTEMA NACIONAL DE PENSIONES (9%)</t>
  </si>
  <si>
    <t>MONTO</t>
  </si>
  <si>
    <t>BENEFICIOS (POR TIEMPO DE SERVICIOS)</t>
  </si>
  <si>
    <t>AGUINALDOS POR ESCOLARIDAD</t>
  </si>
  <si>
    <t>AGUINALDOS POR FIESTAS PATRIAS</t>
  </si>
  <si>
    <t>DESCRIPCIÓN</t>
  </si>
  <si>
    <t>CJA</t>
  </si>
  <si>
    <t>MATERIALES DE ESCRITORIO</t>
  </si>
  <si>
    <t>MLL</t>
  </si>
  <si>
    <t>LIBRETA TOPOGRÁFICA FIELD BOOK</t>
  </si>
  <si>
    <t>LIBRETA TOPOGRÁFICA LEVEL BOOK</t>
  </si>
  <si>
    <t>ARCHIVADOR DE LOMO ANCHO PARA FORMATO A-4</t>
  </si>
  <si>
    <t>SELLO DE OBRA</t>
  </si>
  <si>
    <t>MATERIALES IMPRESIÓN Y FOTOGRÁFICOS</t>
  </si>
  <si>
    <t>PAPEL FOTOCOPIA 80 GR A-4</t>
  </si>
  <si>
    <t>UND.</t>
  </si>
  <si>
    <t>UNIDAD GEST.</t>
  </si>
  <si>
    <t xml:space="preserve">FUNCION </t>
  </si>
  <si>
    <t>PROGRAMA</t>
  </si>
  <si>
    <t>SUB-PROGRAMA</t>
  </si>
  <si>
    <t>RESUMEN  PRESUPUESTO ANALÍTICO - GASTOS GENERALES</t>
  </si>
  <si>
    <t>GASTOS DE SUPERVISION</t>
  </si>
  <si>
    <t>RESUMEN  PRESUPUESTO ANALÍTICO - COSTO DIRECTO</t>
  </si>
  <si>
    <t>UNID.</t>
  </si>
  <si>
    <t>HH</t>
  </si>
  <si>
    <t>TOTAL COSTO DIRECTO</t>
  </si>
  <si>
    <t>OTROS (Liquido de Freno, Anticongelante)</t>
  </si>
  <si>
    <t>EQUIPOS Y MATERIAL DURADERO</t>
  </si>
  <si>
    <t>TOTAL GASTOS DE SUPERVISION</t>
  </si>
  <si>
    <t>LBS.</t>
  </si>
  <si>
    <t>THONER HP LASERJET 1300</t>
  </si>
  <si>
    <t>ACEITE DE TRANSMISION</t>
  </si>
  <si>
    <t>ACEITE HIDRAULICO</t>
  </si>
  <si>
    <t>MANTENIMIENTO DE EQUIPO Y MAQUINARIA</t>
  </si>
  <si>
    <t>LEGALIZACION DE CUADERNO DE OBRAS</t>
  </si>
  <si>
    <t>PZA</t>
  </si>
  <si>
    <t>%</t>
  </si>
  <si>
    <t>SEGURO COMPLEMENTARIO DE TRABAJO DE RIESGO (1.55%)</t>
  </si>
  <si>
    <t>CASCOS DE PROTECCION TIPO KW COLORES</t>
  </si>
  <si>
    <t>GUANTES DE CUERO REFORZADO</t>
  </si>
  <si>
    <t>BOTAS DE JEBE</t>
  </si>
  <si>
    <t>O1</t>
  </si>
  <si>
    <t>GUANTES DE JEBE PARA ALBAÑIL</t>
  </si>
  <si>
    <t>FILES</t>
  </si>
  <si>
    <t>FASTENERX50 UND</t>
  </si>
  <si>
    <t>CINTA MASKING X 1/2"</t>
  </si>
  <si>
    <t>PAPEL CARBON X100 HJAS</t>
  </si>
  <si>
    <t>PLUMON INDELEBLE GRUESO DIFER. COLORES</t>
  </si>
  <si>
    <t>PORTAMINAS</t>
  </si>
  <si>
    <t>REPUESTOS PARA PORTAMINAS</t>
  </si>
  <si>
    <t>CD RW REGRABABLES</t>
  </si>
  <si>
    <t>PEGAMENTO EN BARRA</t>
  </si>
  <si>
    <t>RESALTADOR</t>
  </si>
  <si>
    <t>CORRECTOR</t>
  </si>
  <si>
    <t>LIBRETA DE CAMPO</t>
  </si>
  <si>
    <t>BORRADOR BR40</t>
  </si>
  <si>
    <t>ESPIRALES DE 7 MM</t>
  </si>
  <si>
    <t>ANILLOS DE 5/8"</t>
  </si>
  <si>
    <t>LAPICERO AZUL/NEGRO 033 FABER CASTELL</t>
  </si>
  <si>
    <t>POST IT CUADRADO COLORES</t>
  </si>
  <si>
    <t>CASCOS DE PROTECCION TIPO KW COLOR BLANCO</t>
  </si>
  <si>
    <t>65.11.18</t>
  </si>
  <si>
    <t>ESCOLARIDAD, AGUINALDOS Y GRATIFICACIONES</t>
  </si>
  <si>
    <t>PROYECTO</t>
  </si>
  <si>
    <t>AGUA</t>
  </si>
  <si>
    <t>CINTA TEFLON</t>
  </si>
  <si>
    <t>CAMARA DIGITAL</t>
  </si>
  <si>
    <t>CD R</t>
  </si>
  <si>
    <t>CUTER GRANDE</t>
  </si>
  <si>
    <t>ENGRAMPADOR</t>
  </si>
  <si>
    <t>BLOCK</t>
  </si>
  <si>
    <t>PLUMONES DELGADOS FC 45</t>
  </si>
  <si>
    <t>BOTAS DE CUERO  CAT</t>
  </si>
  <si>
    <t>CINTA MASKING 2"</t>
  </si>
  <si>
    <t>LAPICERO AZUL/NEGRO 031 FABER CASTELL</t>
  </si>
  <si>
    <t>COSTO TOTAL</t>
  </si>
  <si>
    <t>AGUINALDO POR NAVIDAD</t>
  </si>
  <si>
    <t>RESUMEN  GENERAL DEL PRESUPUESTO ANALÍTICO</t>
  </si>
  <si>
    <t>CUADERNO 50 HOJAS</t>
  </si>
  <si>
    <t>COMPUTADORA PORTATIL LAPTOP</t>
  </si>
  <si>
    <t>MEMORIAS USB 4 GB</t>
  </si>
  <si>
    <t>MEMORIA USB 2 GB</t>
  </si>
  <si>
    <t>EQUIPAMIENTO Y BIENES DURADEROS</t>
  </si>
  <si>
    <t>OTROS SERVICIOS DE TERCEROS</t>
  </si>
  <si>
    <t>BIENES DE CONSUMO</t>
  </si>
  <si>
    <t>COMBUSTIBLE Y LUBRICANTES</t>
  </si>
  <si>
    <t>IMPRESIÓN DE PLANOS</t>
  </si>
  <si>
    <t>OFICIAL</t>
  </si>
  <si>
    <t>PEON</t>
  </si>
  <si>
    <t>ARENA GRUESA</t>
  </si>
  <si>
    <t>LIQUIDACION DE OBRA</t>
  </si>
  <si>
    <t>ESSALUD (9%)</t>
  </si>
  <si>
    <t>AGUINALDOS POR FIESTAS PATRIAS Y NAVIDAD</t>
  </si>
  <si>
    <t>VACACIONES TRUNCAS</t>
  </si>
  <si>
    <t>BENEFICIOS (COMPENSACION POR TIEMPO DE SERVICIOS)</t>
  </si>
  <si>
    <t>RESUMEN  PRESUPUESTO ANALITICO - LIQUIDACION DE OBRA</t>
  </si>
  <si>
    <t>COSTO CONSTRUCCION POR ADMINISTRACION DIRECTA - PERSONAL</t>
  </si>
  <si>
    <t>COSTO CONSTRUCCION POR ADMINISTRACION DIRECTA - BIENES</t>
  </si>
  <si>
    <t>COSTO CONSTRUCCION POR ADMINISTRACION DIRECTA - SERVICIOS</t>
  </si>
  <si>
    <t>COSTO CONSTRUCCION POR ADMINISTRACION DIRECTA - OTROS</t>
  </si>
  <si>
    <t>kg</t>
  </si>
  <si>
    <t>m3</t>
  </si>
  <si>
    <t>p2</t>
  </si>
  <si>
    <t>pza</t>
  </si>
  <si>
    <t>C. DIRECTO</t>
  </si>
  <si>
    <t>ELAB. DE EXPEDIENTE TECNICO</t>
  </si>
  <si>
    <t>GASTOS DE LIQUIDACION</t>
  </si>
  <si>
    <t>bls</t>
  </si>
  <si>
    <t>hh</t>
  </si>
  <si>
    <t>TOTAL GASTOS DE LIQUIDACION</t>
  </si>
  <si>
    <t xml:space="preserve">GASOLINA 84 OCT </t>
  </si>
  <si>
    <t>PETROLEO DIESEL 2</t>
  </si>
  <si>
    <t>ALQUILER DE CAMIONETA</t>
  </si>
  <si>
    <t xml:space="preserve">LIBRETA TOPOGRÁFICA </t>
  </si>
  <si>
    <t>und</t>
  </si>
  <si>
    <t>gln</t>
  </si>
  <si>
    <t>HIPOCLORITO DE CALCIO AL 30%</t>
  </si>
  <si>
    <t>PETROLEO</t>
  </si>
  <si>
    <t>ADAPTADOR  UPR  PVC DE  1/2"</t>
  </si>
  <si>
    <t>VALVULA BOLA P/JARDIN 1/2"</t>
  </si>
  <si>
    <t>NIPLE FºGº 1/2"X3"</t>
  </si>
  <si>
    <t>RESUMEN  PRESUPUESTO ANALITICO - CAPACITACION SOCIAL</t>
  </si>
  <si>
    <t>PROMOTOR</t>
  </si>
  <si>
    <t>PAPEL BOND A4 80 GRAMOS</t>
  </si>
  <si>
    <t>MIL</t>
  </si>
  <si>
    <t>DIA</t>
  </si>
  <si>
    <t>PLUMONES GRUESOS</t>
  </si>
  <si>
    <t>CINTA MASKING</t>
  </si>
  <si>
    <t>TIJERA</t>
  </si>
  <si>
    <t>KUTER</t>
  </si>
  <si>
    <t>RAFIA</t>
  </si>
  <si>
    <t>rll</t>
  </si>
  <si>
    <t>AFICHES (3X FAMILIA)</t>
  </si>
  <si>
    <t>GLOBOS MEDIANOS</t>
  </si>
  <si>
    <t>GORROS</t>
  </si>
  <si>
    <t>POLOS</t>
  </si>
  <si>
    <t>COMPARADOR DE CLORO RESIDUAL</t>
  </si>
  <si>
    <t>PASTILLAS DPD</t>
  </si>
  <si>
    <t>PREMIOS PARA LA COMUNIDAD</t>
  </si>
  <si>
    <t>PREMIOS PARA EL C.E</t>
  </si>
  <si>
    <t>CAJA DE HERRAMIENTAS</t>
  </si>
  <si>
    <t>PAPEL CRAFF</t>
  </si>
  <si>
    <t>COPIA EXPEDIENTE SOCIAL</t>
  </si>
  <si>
    <t>MANUALES DE  CAPACITACIÓN Nº 01</t>
  </si>
  <si>
    <t>MANUALES DE  CAPACITACIÓN Nº 02</t>
  </si>
  <si>
    <t>MANUALES DE  CAPACITACIÓN Nº 03</t>
  </si>
  <si>
    <t>MANUALES DE  CAPACITACIÓN Nº 05</t>
  </si>
  <si>
    <t>MANUALES DE  CAPACITACIÓN Nº 06</t>
  </si>
  <si>
    <t>MANUALES DE  CAPACITACIÓN Nº 07</t>
  </si>
  <si>
    <t>MANUALES DE  CAPACITACIÓN Nº 08</t>
  </si>
  <si>
    <t>MANUALES DE  CAPACITACIÓN Nº 09</t>
  </si>
  <si>
    <t>LUDO FAMILIAR</t>
  </si>
  <si>
    <t>ROMPECABEZAS</t>
  </si>
  <si>
    <t>AFICHES DE AUTOEVALUACION</t>
  </si>
  <si>
    <t>MANUAL ROTAFOLIO</t>
  </si>
  <si>
    <t>BOLSAS DE POLISEDA</t>
  </si>
  <si>
    <t>VASITOS PLASTICOS</t>
  </si>
  <si>
    <t>2.6.2.3.5.3 REMUNERACIONES</t>
  </si>
  <si>
    <t>2.6.2.3.5.4 BIENES</t>
  </si>
  <si>
    <t>2.6.2.3.5.5 SERVICIOS</t>
  </si>
  <si>
    <t>BENEFICIOS (COMPENSACION POR TIEMPO DE SERVICIOS CTS)</t>
  </si>
  <si>
    <t>G. SUP</t>
  </si>
  <si>
    <t>.</t>
  </si>
  <si>
    <t xml:space="preserve">CD RW </t>
  </si>
  <si>
    <t>G. LIQUID</t>
  </si>
  <si>
    <t>G. CAPAC SOC</t>
  </si>
  <si>
    <t>MATERIALES PARA CAPACITACION</t>
  </si>
  <si>
    <t>THONER PARA IMPRESORA</t>
  </si>
  <si>
    <t>TABLERO DE PLASTICO</t>
  </si>
  <si>
    <t>CHALECO DE TELA</t>
  </si>
  <si>
    <t>MICA A4</t>
  </si>
  <si>
    <t>ARCHIVADORES LOMO ANCHO-OFICIO</t>
  </si>
  <si>
    <t>FASTENER P/FILE CAJA X 50 UND. "WINGO"</t>
  </si>
  <si>
    <t>LAPIZ NEGRO</t>
  </si>
  <si>
    <t>SOBRE MANILA GRANDE</t>
  </si>
  <si>
    <t>FOLDER MANILA.</t>
  </si>
  <si>
    <t>COMBUSTIBLE</t>
  </si>
  <si>
    <t>PILA PARA LINTERNA</t>
  </si>
  <si>
    <t>LAPICEROS</t>
  </si>
  <si>
    <t>ESPIRAL X 100 HOJAS</t>
  </si>
  <si>
    <t>PAPEL CARTULINA</t>
  </si>
  <si>
    <t>CUADERNO TAMAÑO OFICION 100HOJAS</t>
  </si>
  <si>
    <t>ANILLADO FORMATOS SID</t>
  </si>
  <si>
    <t>CODO F° GALV. DE 1/2" X 90°</t>
  </si>
  <si>
    <t>UNION SIMPLE DE F° GALV. DE 1/2"</t>
  </si>
  <si>
    <t>TUB. PVC SAP PRESION C-10 EC DE 1/2" x5m</t>
  </si>
  <si>
    <t>TUB. PVC SAP PRESION C-10 R. 3/4" x 5m</t>
  </si>
  <si>
    <t>UNION UNIVERSAL PVC SAP DE 1/2"</t>
  </si>
  <si>
    <t>TEE PVC SAP 3/4"</t>
  </si>
  <si>
    <t>REDUCCION PVC SAP 3/4" A 1/2"</t>
  </si>
  <si>
    <t>CODO PVC SAP 1/2" X 90°</t>
  </si>
  <si>
    <t>ALIMENTACIÓN</t>
  </si>
  <si>
    <t>COPIA DE FORMATOS SID</t>
  </si>
  <si>
    <t>COPIA DE FORMATOS</t>
  </si>
  <si>
    <t>VALVULA ESFERICA 1/2"</t>
  </si>
  <si>
    <t>LINTERNA</t>
  </si>
  <si>
    <t>PRIMER PREMIO</t>
  </si>
  <si>
    <t>SEGUNDO  PREMIO</t>
  </si>
  <si>
    <t>TERCER PREMIO</t>
  </si>
  <si>
    <t>PAPEL LUSTRE</t>
  </si>
  <si>
    <t>PAPEL SEDITA</t>
  </si>
  <si>
    <t>MANUALES DE  CAPACITACIÓN Nº 04</t>
  </si>
  <si>
    <t xml:space="preserve">MANUALES DE  CAPACITACIÓN Nº 10 </t>
  </si>
  <si>
    <t>MANUALES DE  CAPACITACIÓN Nº 11</t>
  </si>
  <si>
    <t>PEGAMENTO UHU</t>
  </si>
  <si>
    <t>CINTA DE EMBALAJE</t>
  </si>
  <si>
    <t>ZAPATOS DE CUERO</t>
  </si>
  <si>
    <t>PONCHO DE AGUA.</t>
  </si>
  <si>
    <t>COPIA GUIA DE INTERVENCION.</t>
  </si>
  <si>
    <t>ALQUILER CAMIONETA</t>
  </si>
  <si>
    <t>ALOJAMIENTO</t>
  </si>
  <si>
    <t>TRASLADO</t>
  </si>
  <si>
    <t>CUADERNO CON ESPIRAL</t>
  </si>
  <si>
    <t>GASTOS DE CAPACITACION SOCIAL</t>
  </si>
  <si>
    <t>TOTAL GASTOS DE CAPACITACION</t>
  </si>
  <si>
    <t>TOTAL GASTOS DE CAPACITACION SOCIAL</t>
  </si>
  <si>
    <t>PIEDRA MEDIANA DE 6"</t>
  </si>
  <si>
    <t>ASISTENTE ADMINISTRATIVO 2</t>
  </si>
  <si>
    <t>INSPECTOR DE OBRA 2</t>
  </si>
  <si>
    <t>AGUINALDOS Y GRATIFICACIONES</t>
  </si>
  <si>
    <t>LIQUIDADOR FINANCIERO</t>
  </si>
  <si>
    <t>LIQUIDADOR TECNICO</t>
  </si>
  <si>
    <t>MONTO DE LA OBRA S/.</t>
  </si>
  <si>
    <t>0 - 500,000</t>
  </si>
  <si>
    <t>TIEMPO LIQUIDACION</t>
  </si>
  <si>
    <t>15 DIAS</t>
  </si>
  <si>
    <t>500,000 - 1'000,000</t>
  </si>
  <si>
    <t>45 DIAS</t>
  </si>
  <si>
    <t>&gt; 1'000,000</t>
  </si>
  <si>
    <t>45 - 60 DIAS</t>
  </si>
  <si>
    <t>ITEM</t>
  </si>
  <si>
    <t>SERVICIO DE FOTOCOPIAS</t>
  </si>
  <si>
    <t>RESUMEN  PRESUPUESTO ANALITICO - GASTOS DE EXPEDIENTE TECNICO</t>
  </si>
  <si>
    <t>GASTOS DE EXPEDIENTE TECNICO</t>
  </si>
  <si>
    <t>TOTAL GASTOS DE EXPEDIENTE TECNICO</t>
  </si>
  <si>
    <t>SUPERVISION DE EXPEDIENTE TECNICO</t>
  </si>
  <si>
    <t>GASTOS DE SUPERVISION DE EXPEDIENTE TECNICO</t>
  </si>
  <si>
    <t>PARTES DIARIOS MAQUINARIA 1X3 AUTOCOPIAS</t>
  </si>
  <si>
    <t>CUADERNO DE OBRA 1X3 AUTOCOPIAS X 50 HOJAS</t>
  </si>
  <si>
    <t>CUADERNO ESPIRALADO TAMAÑO A4 200 HJAS</t>
  </si>
  <si>
    <t>NOTAS ENTRADA DE ALMACEN 1X3 AUTOCOPIAS</t>
  </si>
  <si>
    <t>NOTAS DE SALIDAS DE ALMACEN 1X3 AUTOCOPIAS</t>
  </si>
  <si>
    <t>TARJETAS VISIBLES DE ALMACEN 1X3 AUTOCOPIAS</t>
  </si>
  <si>
    <t>glb</t>
  </si>
  <si>
    <t>2.6.2.2.2.4</t>
  </si>
  <si>
    <t>2.6.2.2.2.5</t>
  </si>
  <si>
    <t>2.6.2.2.2.6</t>
  </si>
  <si>
    <t>OPERARIO</t>
  </si>
  <si>
    <t>HORMIGON</t>
  </si>
  <si>
    <t>pln</t>
  </si>
  <si>
    <t>MAQUINARIA Y EQUIPO</t>
  </si>
  <si>
    <t>SERVICIOS DE CONSULTORIA</t>
  </si>
  <si>
    <t>m2</t>
  </si>
  <si>
    <t>2.6.2.2.2.7</t>
  </si>
  <si>
    <t>2.6.8.1.3.1  ELABORACION DE EXPEDIENTE TECNICO</t>
  </si>
  <si>
    <t>2.6.8.1.3.1</t>
  </si>
  <si>
    <t>ELABORACION DE EXPEDIENTE TECNICO</t>
  </si>
  <si>
    <t>G. ET</t>
  </si>
  <si>
    <t>:</t>
  </si>
  <si>
    <t>TOPOGRAFO</t>
  </si>
  <si>
    <t>PIEDRA GRANDE DE 8"</t>
  </si>
  <si>
    <t>LIJA</t>
  </si>
  <si>
    <t>PINTURA ESMALTE</t>
  </si>
  <si>
    <t>PINTURA ANTICORROSIVA</t>
  </si>
  <si>
    <t>IMPRIMANTE</t>
  </si>
  <si>
    <t>SUMIDERO CROMADO DE 2"</t>
  </si>
  <si>
    <t>HOJA DE SIERRA</t>
  </si>
  <si>
    <t>m</t>
  </si>
  <si>
    <t>hm</t>
  </si>
  <si>
    <t>RESIDENTE DE OBRA</t>
  </si>
  <si>
    <t xml:space="preserve">MAESTRO DE OBRA </t>
  </si>
  <si>
    <t xml:space="preserve">ALMACENERO </t>
  </si>
  <si>
    <t>ASISTENTE TECNICO</t>
  </si>
  <si>
    <t>UTILIDAD</t>
  </si>
  <si>
    <t>SUB CONTRATAS</t>
  </si>
  <si>
    <t>INSTALACIONES ELECTRICAS Y ESPECIALES</t>
  </si>
  <si>
    <t>INSTALACIONES SANITARIAS</t>
  </si>
  <si>
    <t>GOBIERNO REGIONAL DE APURIMAC</t>
  </si>
  <si>
    <t>gbl</t>
  </si>
  <si>
    <t>ASISTENTE ADMINISTRATIVO</t>
  </si>
  <si>
    <t>SUPERVISOR DE OBRA</t>
  </si>
  <si>
    <t>IMPRESIÓNES</t>
  </si>
  <si>
    <t>COSTO COMPONENTES</t>
  </si>
  <si>
    <t>COSTO CON COMPONENTES</t>
  </si>
  <si>
    <t>CAJA</t>
  </si>
  <si>
    <t>GBL</t>
  </si>
  <si>
    <t>COMPUTADORA PENTIUM VII</t>
  </si>
  <si>
    <t>IMPRESORA A COLOR MULTIFUNCIONAL</t>
  </si>
  <si>
    <t>CLAVOS PARA MADERA C/C 3"</t>
  </si>
  <si>
    <t>ALAMBRE NEGRO N°16</t>
  </si>
  <si>
    <t>ALAMBRE NEGRO N°8</t>
  </si>
  <si>
    <t>ARENA FINA</t>
  </si>
  <si>
    <t>PIEDRA CHANCADA DE 1/2"</t>
  </si>
  <si>
    <t>PIEDRA CHANCADA DE 3/4"</t>
  </si>
  <si>
    <t>MATERIAL DE RELLENO</t>
  </si>
  <si>
    <t>PAPELERA C/EJE 15x15 BLANCA</t>
  </si>
  <si>
    <t>CAJA OCTOGONAL GALV. LIVIANA 4"x4"x2 1/2</t>
  </si>
  <si>
    <t>ASFALTO RC-250</t>
  </si>
  <si>
    <t>CEMENTO PORTLAND TIPO I (42.5KG)</t>
  </si>
  <si>
    <t>YESO DE 28 Kg</t>
  </si>
  <si>
    <t>PORCELANA</t>
  </si>
  <si>
    <t>PEGAMENTO PARA LOSETAS Y CERAMICAS</t>
  </si>
  <si>
    <t>SOLDADURA CELLOCORD P 3/16"</t>
  </si>
  <si>
    <t>LIJA PARA CONCRETO</t>
  </si>
  <si>
    <t>PUERTA DE MADERA AGUANO TABLERO REBAJADO</t>
  </si>
  <si>
    <t>REGLA DE MADERA</t>
  </si>
  <si>
    <t>TAPA C/MARCO FºFº DE DESAGUE 12" X 24"</t>
  </si>
  <si>
    <t>THINER</t>
  </si>
  <si>
    <t>PINTURA LATEX</t>
  </si>
  <si>
    <t>TEJA ANDINA ETERNIT 1.18m x0.745m x5mm</t>
  </si>
  <si>
    <t>UNION UNIVERSAL DE Fo. GALV. DE 1/2"</t>
  </si>
  <si>
    <t>TUB. PVC SAL P/DESAGUE DE 2"</t>
  </si>
  <si>
    <t>CODO DE 90 PVC SAL DE 2"</t>
  </si>
  <si>
    <t>SOMBRERO DE VENTILACION PVC SAL 2"</t>
  </si>
  <si>
    <t>BOL</t>
  </si>
  <si>
    <t>HERRAMIENTAS MANUALES</t>
  </si>
  <si>
    <t>OBSERV.</t>
  </si>
  <si>
    <t>SE CONSIDERA 01 MES PARA LA  PRE - LIQU.</t>
  </si>
  <si>
    <t>INFRAESTRUCTURA</t>
  </si>
  <si>
    <t>EXPEDIENTE TECNICO</t>
  </si>
  <si>
    <t>MEMORIA USB 16 GB</t>
  </si>
  <si>
    <t>%MO</t>
  </si>
  <si>
    <t>:22 EDUCACIÓN</t>
  </si>
  <si>
    <t>:047 EDUCACIÓN BÁSICA</t>
  </si>
  <si>
    <r>
      <rPr>
        <b/>
        <sz val="12"/>
        <rFont val="Calibri"/>
        <family val="2"/>
      </rPr>
      <t>MODALIDAD:</t>
    </r>
    <r>
      <rPr>
        <sz val="14"/>
        <rFont val="Calibri"/>
        <family val="2"/>
      </rPr>
      <t xml:space="preserve"> </t>
    </r>
    <r>
      <rPr>
        <sz val="10"/>
        <rFont val="Calibri"/>
        <family val="2"/>
      </rPr>
      <t xml:space="preserve">   ADMINISTRACION DIRECTA.</t>
    </r>
  </si>
  <si>
    <t>Monto Presupuestado</t>
  </si>
  <si>
    <t>MONTO DEL COSTO DIRECTO DEL PRESUPUESTO BASE:</t>
  </si>
  <si>
    <t>Resúmen de  Análisis de Costos</t>
  </si>
  <si>
    <t>CD</t>
  </si>
  <si>
    <t>CP</t>
  </si>
  <si>
    <t>GG</t>
  </si>
  <si>
    <t>S_T</t>
  </si>
  <si>
    <t>SUPERVISION DEL PROYECTO</t>
  </si>
  <si>
    <t>PRESUPUESTO DE PROYECTO</t>
  </si>
  <si>
    <t>FOTOCOPIAS</t>
  </si>
  <si>
    <t>CUMPUTADORA COREL I7</t>
  </si>
  <si>
    <t>plg</t>
  </si>
  <si>
    <t>TEE SANITARIO SIMPLE .PVC SAL 2"</t>
  </si>
  <si>
    <t>UNION PVC SEL DE 1"</t>
  </si>
  <si>
    <t>INTERRUPTOR TERMOMAGNETICO DE 2X15A,220V,C-1,C-2</t>
  </si>
  <si>
    <t>INTERRUPTOR TERMOMAGNETICO DIFERENCIAL DE 2*20A, C-3,C-4</t>
  </si>
  <si>
    <t>ALAMBRE GALVANIZADO # 14</t>
  </si>
  <si>
    <t>YEE PVC SAL 2"</t>
  </si>
  <si>
    <t>CLAVOS Fo No C/C 3/4"</t>
  </si>
  <si>
    <t>CLAVOS DE ALAMBRE PARA MADERA C/C DE 2 1/2"</t>
  </si>
  <si>
    <t>CLAVOS PARA FIJACION</t>
  </si>
  <si>
    <t>GRAPAS</t>
  </si>
  <si>
    <t>REJILLA FIERRO CORRUGADO</t>
  </si>
  <si>
    <t>PIEDRA MEDIANA</t>
  </si>
  <si>
    <t>CAJA RECTANGULAR GALVANIZADA LIVIANA DE 4"X2 1/2"</t>
  </si>
  <si>
    <t>CINTA AISLANTE</t>
  </si>
  <si>
    <t>TABLERO DE DISTRIBUCION DE 18 POLOS, TIPO ENGRAMPE</t>
  </si>
  <si>
    <t>CONDUCTOR DE COBRE DE 2.5 mm2, AISLAMIENTO TIPO TW o THW</t>
  </si>
  <si>
    <t>VENTONITA</t>
  </si>
  <si>
    <t>QQ</t>
  </si>
  <si>
    <t>CABLE DE COBRE DESNUDO SUAVE 16 mm2</t>
  </si>
  <si>
    <t>CONECTOR TIPO ANDERSON</t>
  </si>
  <si>
    <t>VARILLA DE COBRE 5/8 X 8'</t>
  </si>
  <si>
    <t>CABLE TW # 14 AWG 2.5 MM2</t>
  </si>
  <si>
    <t>ALAMBRE  THW  8 AWG</t>
  </si>
  <si>
    <t>CABLE UTP PARA INTERNET</t>
  </si>
  <si>
    <t>LAVATORIO DE LOZA COLOR BLANCO C/A.</t>
  </si>
  <si>
    <t>INODORO TQUE. BAJO NORMAL BLANCO INCLUYE ACCESORIOS.</t>
  </si>
  <si>
    <t>JABONERA C/ASA P/BANO 15x15 BLANCA</t>
  </si>
  <si>
    <t>CHICOTES DE 5/8"</t>
  </si>
  <si>
    <t>REGISTRO DE BRONCE DE 4"</t>
  </si>
  <si>
    <t>GRIFO DE BRONCE 1/2"</t>
  </si>
  <si>
    <t>GRIFERIA PARA LAVATORIOS DE LOZA</t>
  </si>
  <si>
    <t>LUMINARIA C/EQUIPO</t>
  </si>
  <si>
    <t>FLUORESCENTE CIRCULAR 32 W + ACCESORIOS</t>
  </si>
  <si>
    <t>TABLERO GABINETE METAL BARRA BRONCE 12 POLOS</t>
  </si>
  <si>
    <t>TOMACORRIENTE DOBLE PLANO BAKELITA</t>
  </si>
  <si>
    <t>INTERRUPTOR TERMOMAGNETICO DE 2x20A</t>
  </si>
  <si>
    <t>INTERRUPTOR TERMOMAGNETICO DE 2x15A</t>
  </si>
  <si>
    <t>CAJA RECTANG GALV  4"X2 1/8"</t>
  </si>
  <si>
    <t>CAJA RECTANGULAR DE 58mm x 93mm</t>
  </si>
  <si>
    <t>CAJA OCTOGONAL GALV. 4" X 2 1/8 "</t>
  </si>
  <si>
    <t>CAJA RECTANGULAR GALVANIZADA 4" X 2 x21/2"</t>
  </si>
  <si>
    <t>CAJA OCTOGONAL GALV. PESADAS 4"</t>
  </si>
  <si>
    <t>BALDOSA SUPERBOARD TEXTURADA</t>
  </si>
  <si>
    <t>FLUORES. RECTO CIRC. ISPE 1X40 W C/EQ + PANT</t>
  </si>
  <si>
    <t>INTERRUPTOR RESERVADA</t>
  </si>
  <si>
    <t>TOMACORRIENTE BIPOLAR SIMPLE</t>
  </si>
  <si>
    <t>INTERRUPTOR SIMPLE</t>
  </si>
  <si>
    <t>INTERRUPTOR BIPOLAR</t>
  </si>
  <si>
    <t>INTERRUPTOR TRIPOLAR</t>
  </si>
  <si>
    <t>TUBERIA PVC SAP PARA INSTALACIONES ELECTRICAS DE 1"</t>
  </si>
  <si>
    <t>INTERRUPTORES DE COMMUTACION</t>
  </si>
  <si>
    <t>LUCES DE EMERGENCIA, CON DURACION HASTA DE 6 HORAS</t>
  </si>
  <si>
    <t>TUBERIA PVC SEL DE  1"</t>
  </si>
  <si>
    <t>PEGAMENTO</t>
  </si>
  <si>
    <t>TECNOPORT DE 2"</t>
  </si>
  <si>
    <t>LADRILLO P/TECHO DE 15x30x30 CM 8 HCOS.</t>
  </si>
  <si>
    <t>LADRILLO MECANIZADO DE 18 HUECOS KK. 0.09X0.12x0.24 m</t>
  </si>
  <si>
    <t>CUMBRERA INFERIOR TEJA ANDINA BARRO</t>
  </si>
  <si>
    <t>CUMBRERA SUPERIOR P. TEJA ANDINA BARRO</t>
  </si>
  <si>
    <t>CABLE TELEFONICO # 22 DE 2 HILOS</t>
  </si>
  <si>
    <t>GABINETE METALICO PARA EMPOTRAR, PLACHA GALVANIZADA DE 1.2MM, 1.5 CAJA</t>
  </si>
  <si>
    <t>CERAMICA ROSELLO 20 cm X 30 cm</t>
  </si>
  <si>
    <t>TIRAFON DE 1/4" x 5"</t>
  </si>
  <si>
    <t>CERRADURA DE TRES GOLPES</t>
  </si>
  <si>
    <t>BISAGRA CAPUCHINA PLOMA 3 1/2" X 3 1/2"</t>
  </si>
  <si>
    <t>MASILLA</t>
  </si>
  <si>
    <t>TAPAJUNTA METALICA PLATINA DE ALUMINIO DE 3"</t>
  </si>
  <si>
    <t>MASTIL PARA IZAMIENTO</t>
  </si>
  <si>
    <t>OCRE ROJO</t>
  </si>
  <si>
    <t>WAYPE</t>
  </si>
  <si>
    <t>CORDEL</t>
  </si>
  <si>
    <t>SOLDADURA ELECTRICA</t>
  </si>
  <si>
    <t>SOLDADURA INDURA PUNTO AZUL 1/8"</t>
  </si>
  <si>
    <t>CONSTRUCCION DE GUARDIANIA Y OTROS</t>
  </si>
  <si>
    <t>FRAGUA</t>
  </si>
  <si>
    <t>MEDIDOR DE AGUA</t>
  </si>
  <si>
    <t>PEGAMENTO PARA PVC AGUA FORDUIT</t>
  </si>
  <si>
    <t>SILICONA DE 300 ML</t>
  </si>
  <si>
    <t>MEDIDOR DE ENERGIA</t>
  </si>
  <si>
    <t>EXTINTOR</t>
  </si>
  <si>
    <t>SIKAFLEX</t>
  </si>
  <si>
    <t>MANGUERA DE POLIETILENO 1 1/2"</t>
  </si>
  <si>
    <t>ROTURA DE BRIQUETAS</t>
  </si>
  <si>
    <t>FLETE</t>
  </si>
  <si>
    <t>ton</t>
  </si>
  <si>
    <t>LIJA PARA MADERA</t>
  </si>
  <si>
    <t>hja</t>
  </si>
  <si>
    <t>YUTE h=2.00 M</t>
  </si>
  <si>
    <t>WAYPE INDUSTRIAL</t>
  </si>
  <si>
    <t>CARTEL DE OBRA  2.40 X 3.60m</t>
  </si>
  <si>
    <t>PRUEBA HIDRAULICA TUBERIA DE DESAGUE</t>
  </si>
  <si>
    <t>PRUEBA HIDRAULICA TUBERIA DE AGUA FRIA</t>
  </si>
  <si>
    <t>CERAMICO ANTIDESLIZANTE de 0.40M x 0.40M</t>
  </si>
  <si>
    <t>CERAMICO  DE 0.10M x 0.40M</t>
  </si>
  <si>
    <t>PUERTA DE MADERA AGUANO CONTRAPLACADA</t>
  </si>
  <si>
    <t>SEÑALES DE EVACUACION Y EMERGENCIA</t>
  </si>
  <si>
    <t>SEÑALES DE PROHIBICION</t>
  </si>
  <si>
    <t>SEÑALES DE ADVERTENCIA</t>
  </si>
  <si>
    <t>SEÑALIZACION DE EQUIPO CONTRA INCENDIO</t>
  </si>
  <si>
    <t>SEÑALIZACION DE OBLIGACION</t>
  </si>
  <si>
    <t>SEÑALIZACION INFORMATIVA</t>
  </si>
  <si>
    <t>ANDAMIO DE MADERA</t>
  </si>
  <si>
    <t>ROLLIZO DE EUCALIPTO DE 3" X 2.80 M</t>
  </si>
  <si>
    <t>MADERA CORRIENTE PARA ESTACAS</t>
  </si>
  <si>
    <t>MADERA TORNILLO CEPILLADA</t>
  </si>
  <si>
    <t>TRIPLAY DE 4'x8'x 12 mm</t>
  </si>
  <si>
    <t>MADERA TORNILLO INC.CORTE P/ENCOFRADO</t>
  </si>
  <si>
    <t>MALLA CUADRADA CRIPADA GALVANIZADA # 12</t>
  </si>
  <si>
    <t>ALAMBRE DE PUAS # 16</t>
  </si>
  <si>
    <t>ANGULAR 3/4"</t>
  </si>
  <si>
    <t>ANGULO PERIMETRAL CKM BLANCO</t>
  </si>
  <si>
    <t>TEE PRINCIPAL CKM BLANCO</t>
  </si>
  <si>
    <t>TEE SECUNDARIO CKM BLANCO</t>
  </si>
  <si>
    <t>TEE TERCIARIO CKM BLANCO</t>
  </si>
  <si>
    <t>FULMINANTE CALIBRE 22</t>
  </si>
  <si>
    <t>TUBOS RECTANGULARES LAC  DE 2"x 4"</t>
  </si>
  <si>
    <t>TUBO RECTANGULAR LAC  DE 2"x2"</t>
  </si>
  <si>
    <t>PINTURA ESMALTE SINTETICO</t>
  </si>
  <si>
    <t>LACA (MATE O BRILLANTE)</t>
  </si>
  <si>
    <t>BARNIZ DD CPP</t>
  </si>
  <si>
    <t>PINTURA BASE ZINCROMATO TEKNO</t>
  </si>
  <si>
    <t>PLANCHA DE FIERRO ESTRIADA 48 KG.</t>
  </si>
  <si>
    <t>ARCILLA PARA POZO A TIERRA</t>
  </si>
  <si>
    <t>TUBO PVC-SAP - PESADO (ELECT.) 20mm de 3m.</t>
  </si>
  <si>
    <t>TEKNOPOR DE 1" x 4' x 8'</t>
  </si>
  <si>
    <t>TUBERIA F°G° 2"</t>
  </si>
  <si>
    <t>TEE DE Fo. GALVANIZADO DE 2"</t>
  </si>
  <si>
    <t>NIPLE DE Fo Go DE  1/2" x 1 1/2"</t>
  </si>
  <si>
    <t>ABRAZADERA DE F°P/TUBO DE 4"</t>
  </si>
  <si>
    <t>UNION DE F° GALVANIZADO DE 2"</t>
  </si>
  <si>
    <t>NIPLE DE F° GALV. DE 1/2" X 2"</t>
  </si>
  <si>
    <t>ESCALERA DE CARACON D=1.30M H=2.40M</t>
  </si>
  <si>
    <t>POLICARBONATO TRANSLUCIDA 2.44 x 1.10 M. INC. CUMBRERA</t>
  </si>
  <si>
    <t>CODO FO.FO. B.B. DE 2"</t>
  </si>
  <si>
    <t>NIPLE DE F°G° DE 2 " X 2"</t>
  </si>
  <si>
    <t>ABRAZADERA C/TUERCA TIPO "U" 6"</t>
  </si>
  <si>
    <t>TUBERIA F° G° DE 2 1/2" C/R PESADO</t>
  </si>
  <si>
    <t>TUB. PVC SAP PRESION P/AGUA C-10 R. 1/2"</t>
  </si>
  <si>
    <t>GRIFO DE  BRONCE DE 2 "  CONTRA INCENDIO</t>
  </si>
  <si>
    <t>TUB. PVC SAP Ø DE 6"</t>
  </si>
  <si>
    <t>CODO DE 90° PVC SAP P/AGUA DE 1/2"</t>
  </si>
  <si>
    <t>CURVA PARA TUBO DE Ø 20mm</t>
  </si>
  <si>
    <t>TUB. PVC SAL P/DESAGUE DE 4"</t>
  </si>
  <si>
    <t>RAMAL TEE SIMPLE PVC SAL DE 2"</t>
  </si>
  <si>
    <t>RAMAL TEE DOBLE C/REDUC PVC SAL 4" A 2"</t>
  </si>
  <si>
    <t>TEE SANITARIA SIMPLE PVC SAL DE 4"</t>
  </si>
  <si>
    <t>UNION SIMPLE PVC-P DE 20mm</t>
  </si>
  <si>
    <t>CURVA LIVIANO PVC SEL P/INST. ELECT  1"</t>
  </si>
  <si>
    <t>ADAPTADOR PVC SAP 1/2"</t>
  </si>
  <si>
    <t>YEE PVC SAL 4"</t>
  </si>
  <si>
    <t>YEE PVC SAL C/REDUCC. 4" - 2"</t>
  </si>
  <si>
    <t>TUBERIA PVC SAL 2"</t>
  </si>
  <si>
    <t>TUBERIA PVC SAL 4"</t>
  </si>
  <si>
    <t>TEE PVC SAL 2" X 2"</t>
  </si>
  <si>
    <t>TUBO PVC SAP (LUZ) (E/C) 3/4" X 3 M.</t>
  </si>
  <si>
    <t>CURVA PVC SAP LUZ 3/4"</t>
  </si>
  <si>
    <t>UNION SIMPLE PRESION PVC SAP (LUZ) 3/4"</t>
  </si>
  <si>
    <t>CONEXION A CAJA PVC SAP 3/4"</t>
  </si>
  <si>
    <t>TUBO PVC SEL (E/C) 3/4" X 3.00 M.</t>
  </si>
  <si>
    <t>UNION PVC SEL 3/4"</t>
  </si>
  <si>
    <t>CURVAS PVC SEL 3/4"</t>
  </si>
  <si>
    <t>CONEXIONES A CAJA PVC SEL 3/4"</t>
  </si>
  <si>
    <t>VALVULA COMPUERTA DE BRONCE DE 1/2"</t>
  </si>
  <si>
    <t>VALVULA CHECK DE BRONCE DE 1/2"</t>
  </si>
  <si>
    <t>VIDRIO TRANSPARENTE INCOLORO CRUDO MEDIODOBLE</t>
  </si>
  <si>
    <t>VIDRIO POLARISADO DE 6MM. INC. COLOCACION</t>
  </si>
  <si>
    <t>ESPEJO DE SOBREPROPONER DE 0.60 X 1.00 C/ACCESORIOS</t>
  </si>
  <si>
    <t>CODO PVC SAL 2"</t>
  </si>
  <si>
    <t>CODO PVC SAL 2"X45º</t>
  </si>
  <si>
    <t>CODO PVC SAL 4"X45º</t>
  </si>
  <si>
    <t>CODO PVC SAL 4"X90º</t>
  </si>
  <si>
    <t>CODO PVC SAL 2"X90º</t>
  </si>
  <si>
    <t>EQUIPOS DE PROTECCIÓN INDIVIDUAL</t>
  </si>
  <si>
    <t>EQUIPOS DE PROTECCIÓN COLECTIVA</t>
  </si>
  <si>
    <t>SEÑALIZACIÓN TEMPORAL DE SEGURIDAD</t>
  </si>
  <si>
    <t>CAPACITACIÓN EN SEGURIDAD Y SALUD</t>
  </si>
  <si>
    <t>DISEÑO DE MEZCLA</t>
  </si>
  <si>
    <t>HACHAS CON MANGO</t>
  </si>
  <si>
    <t>WINCHE ELECTRICO 4.8 HP DE DOS TAMBORES (MAQUINA SERVIDA)</t>
  </si>
  <si>
    <t>TANQUE ELEVADO PREFABRICADO DE 1.10 M3 INC. INST.</t>
  </si>
  <si>
    <t>VOLQUETE DE 10 M3 (MAQUINA SERVIDA)</t>
  </si>
  <si>
    <t>SOLDADOR</t>
  </si>
  <si>
    <t>ANDAMIO METALICO</t>
  </si>
  <si>
    <t>COMPRESORA</t>
  </si>
  <si>
    <t>COMPACTADOR VIBR. TIPO PLANCHA 7 HP (MAQUINA SERVIDA)</t>
  </si>
  <si>
    <t>CARGADOR S/LLANTAS 125-155 HP 3 YD3. (MAQUINA SERVIDA)</t>
  </si>
  <si>
    <t>RETROEXCAVADOR S/LLANTAS 58 HP 1 YD3.</t>
  </si>
  <si>
    <t>MARTILLO NEUMATICO DE 24 Kg. (MAQUINA SERVIDA)</t>
  </si>
  <si>
    <t>VIBRADOR DE CONCRETO 4 HP 2.40" (MAQUINA SERVIDA)</t>
  </si>
  <si>
    <t>MOTOSOLDADORA DE 250 AMP.</t>
  </si>
  <si>
    <t>MEZCLADORA CONCRETO TROMPO 8 HP 9 P3 (MAQUINA SERVIDA)</t>
  </si>
  <si>
    <t>GRUPO ELECTROGENO 38 HP 20 KW</t>
  </si>
  <si>
    <t>TEODOLITO</t>
  </si>
  <si>
    <t>NIVEL  TOPOGRAFICO</t>
  </si>
  <si>
    <t>REGLA DE  MADERA</t>
  </si>
  <si>
    <t>FIERRO FY=4200 KG/CM2</t>
  </si>
  <si>
    <t>MATERIAL BASE</t>
  </si>
  <si>
    <t>CONDUCTOR DE COBRE DE 4.0 mm2, AISLAMIENTO TIPO THW</t>
  </si>
  <si>
    <t>CONDUCTOR THW  N° 14</t>
  </si>
  <si>
    <t>CERRADURA DE PERILLA</t>
  </si>
  <si>
    <t>PEGAMENTO PVC</t>
  </si>
  <si>
    <t>RESUMEN  PRESUPUESTO ANALITICO - SUPERVISIÓN</t>
  </si>
  <si>
    <t>RESUMEN  PRESUPUESTO ANALITICO - GESTIÓN DE PROYECTO</t>
  </si>
  <si>
    <t>GESTIÓN DE PROYECTO</t>
  </si>
  <si>
    <t>TOTAL GASTOS DE GESTIÓN DE PROYECTO</t>
  </si>
  <si>
    <t>INGENIERO GEOTECNICO</t>
  </si>
  <si>
    <t>INGENIERO ESTRUCTURAL</t>
  </si>
  <si>
    <t>INGENIERO SANITARIO</t>
  </si>
  <si>
    <t>INGENIERO ELECTRICO</t>
  </si>
  <si>
    <t>ASISTENTE TECNICO (PROFESIONAL)</t>
  </si>
  <si>
    <t xml:space="preserve">INGENIERO CIVIL </t>
  </si>
  <si>
    <t>TEE DE COBRE TIPO L 1/2"</t>
  </si>
  <si>
    <t>CLAVOS PARA MADERA C/C 4"</t>
  </si>
  <si>
    <t>BARRA REDONDA LISA DE 3/8"</t>
  </si>
  <si>
    <t>TIERRA DE CHACRA O VEGETAL</t>
  </si>
  <si>
    <t>CONDUCTOR NYY-2*4mm2</t>
  </si>
  <si>
    <t>CONDUCTOR NYY3-1*25mm2+NYY1*10mm2+NYY1*10mm2</t>
  </si>
  <si>
    <t>ml</t>
  </si>
  <si>
    <t>LAVATORIO CORRIDO INCL ACCESORIOS</t>
  </si>
  <si>
    <t>URINARIO PICO COLOR</t>
  </si>
  <si>
    <t>ACCESORIOS PARA URINARIO</t>
  </si>
  <si>
    <t>FAROLA SOBRE POSTE</t>
  </si>
  <si>
    <t>INTERRUPTOR TERMOMAGNETICO 3 X 50 AMP.</t>
  </si>
  <si>
    <t>INTERRUPTOR TERMOMAGNETICO 3 X 80 AMP.</t>
  </si>
  <si>
    <t>POSTE METALICO TUBULAR DE 3 CUERPOS DE 9.0M</t>
  </si>
  <si>
    <t>LADRILLO CARAVISTA</t>
  </si>
  <si>
    <t>CABLE ELECT NYY 2 X 4 MM2</t>
  </si>
  <si>
    <t>CABLE NYY 2 - 1 X  4 MM2**</t>
  </si>
  <si>
    <t>PICAPORTE DE FIERRO DE 4"</t>
  </si>
  <si>
    <t>CANDADO FORTE 50 MM.</t>
  </si>
  <si>
    <t>EMPALME RECTO P. CABLE NKY 3 X 16MM2</t>
  </si>
  <si>
    <t>CAL HIDRATADA DE 30 Kg</t>
  </si>
  <si>
    <t>IMPERMEABILIZANTE</t>
  </si>
  <si>
    <t>COLA SINTETICA FULLER</t>
  </si>
  <si>
    <t>LIJA PARA ELEMENTOS METALICOS</t>
  </si>
  <si>
    <t>INSTALACION SISTEMA ELECTRICO PARA CISTERNA Y TANQUE ELAVADO</t>
  </si>
  <si>
    <t>TAPA METALICA DE 60 X 60</t>
  </si>
  <si>
    <t>CERAMICO ANTIDESLIZANTE de 0.30M x 0.30M</t>
  </si>
  <si>
    <t>MADERA AGUANO</t>
  </si>
  <si>
    <t>MAGUEY DE 4"</t>
  </si>
  <si>
    <t>CAJA PREFABRICADA DE CONCRETO</t>
  </si>
  <si>
    <t>TUBOS RECTANGULARES LAC  DE 2"x3"</t>
  </si>
  <si>
    <t>TUBOS RECTANGULARES LAC  DE 2"x3" (2.5mm)</t>
  </si>
  <si>
    <t>TUBOS RECTANGULARES LAC  DE 2"x 4" (2.5mm)</t>
  </si>
  <si>
    <t>BASE ANTICORROSIVA</t>
  </si>
  <si>
    <t>CAJA DE REGISTRO DE CONCRETO ARMADO REDONDO</t>
  </si>
  <si>
    <t>TUBERIA F°G° 4"</t>
  </si>
  <si>
    <t>TEE DE Fo. GALVANIZADO DE 1"</t>
  </si>
  <si>
    <t>BRIDAS ROMPE AGUA         6"</t>
  </si>
  <si>
    <t>TUB. U.F. 6"</t>
  </si>
  <si>
    <t>ABRAZADERAS  DE 2" CON DOS OREJAS</t>
  </si>
  <si>
    <t>TUB. PVC SEL P/INST. ELECT. DE 5/8" x 3m</t>
  </si>
  <si>
    <t>CURVA LIVIANO PVC SEL P/INST. ELECT 5/8"</t>
  </si>
  <si>
    <t>CODO PVC SAP  6" X 90°</t>
  </si>
  <si>
    <t>TEE PVC SAP DE 6"x6"</t>
  </si>
  <si>
    <t>VALVULA COMPUERTA DE BRONCE DE 1"</t>
  </si>
  <si>
    <t>VALVULA COMPUERTA DE BRONCE ROS. DE 1"</t>
  </si>
  <si>
    <t>VALVULA CHECK DE BRONCE DE 1"</t>
  </si>
  <si>
    <t>RECURSOS PARA RESPUESTAS ANTE EMERGENCIAS EN SEGURIDAD Y
SALUD DURANTE EL TRABAJO</t>
  </si>
  <si>
    <t>ELABORACIÓN, IMPLEMENTACIÓN Y ADMINISTRACIÓN DEL PLAN DE SALUD EN EL TRABAJO
SEGURIDAD Y SALUD EN EL TRABAJO</t>
  </si>
  <si>
    <t>ELECTROBOMBA 1.4 HP</t>
  </si>
  <si>
    <t>INSTALACION DE NET PARA VOLEY</t>
  </si>
  <si>
    <t>EQUIPO COMPLETO DE ARCO Y BASQUETBALL</t>
  </si>
  <si>
    <t>“OPTIMIZACIÓN  DE COBERTURA METALICA Y TRIBUNA DE LA IE No. 550006 BELEN DE OSMA Y PARDO, PROVINCIA DE ANDAHUAYLAS-REGION APURIMAC"</t>
  </si>
  <si>
    <t>:EDUCACIÓN PRIMARIA SECUNDARIA</t>
  </si>
  <si>
    <t>PRESUPUESTO SUB TOTAL (2)</t>
  </si>
  <si>
    <t>PRESUPUESTO BASE (1)</t>
  </si>
  <si>
    <t>OPTIMIZACION MEDIANTE COBERTURA DE LA LOSA DEPORTIVA MULTIUSO DE LA INSTITUCION ADUCATIVA  SECUNDARIA "RAFAEL GRAU - MAMARA, DISTRITO - MAMARA, PROVINCIA - GRAU, DEPARTAMENTO - APURIMAC</t>
  </si>
  <si>
    <t>IOARR: “OPTIMIZACION MEDIANTE COBERTURA DE LA LOSA DEPORTIVA MULTIUSO DE LA INSTITUCION ADUCATIVA SECUNDARIA "JOSE MARIA ARGUEDAS" CHUQUIBAMBILLA, DISTRITO - CHUQUIBAMBILLA, PROVINCIA - GRAU, DEPARTAMENTO – APURIMAC”</t>
  </si>
  <si>
    <r>
      <rPr>
        <b/>
        <sz val="12"/>
        <rFont val="Calibri"/>
        <family val="2"/>
      </rPr>
      <t xml:space="preserve">LUGAR :  </t>
    </r>
    <r>
      <rPr>
        <sz val="10"/>
        <rFont val="Calibri"/>
        <family val="2"/>
      </rPr>
      <t>DEPARTAMENTO:   APURÍMAC ,  PROVINCIA:   GRAU,    DISTRITO: CHUQUIBAMBILLA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</si>
</sst>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0">
    <numFmt numFmtId="43" formatCode="_-* #,##0.00_-;\-* #,##0.00_-;_-* &quot;-&quot;??_-;_-@_-"/>
    <numFmt numFmtId="164" formatCode="_-&quot;$&quot;* #,##0.00_-;\-&quot;$&quot;* #,##0.00_-;_-&quot;$&quot;* &quot;-&quot;??_-;_-@_-"/>
    <numFmt numFmtId="165" formatCode="General_)"/>
    <numFmt numFmtId="166" formatCode="0.00_)"/>
    <numFmt numFmtId="167" formatCode="#,##0.00;[Red]#,##0.00"/>
    <numFmt numFmtId="168" formatCode="#,##0.0000"/>
    <numFmt numFmtId="169" formatCode="#,##0.00_);\-#,##0.00"/>
    <numFmt numFmtId="170" formatCode="0.000%"/>
    <numFmt numFmtId="171" formatCode="&quot;S/.&quot;\ #,##0.00"/>
    <numFmt numFmtId="172" formatCode="0.0000000000"/>
  </numFmts>
  <fonts count="72">
    <font>
      <sz val="10"/>
      <name val="Arial"/>
    </font>
    <font>
      <sz val="10"/>
      <name val="Arial"/>
      <family val="2"/>
    </font>
    <font>
      <sz val="10"/>
      <name val="Times New Roman"/>
      <family val="1"/>
    </font>
    <font>
      <sz val="10"/>
      <name val="Arial"/>
      <family val="2"/>
    </font>
    <font>
      <b/>
      <sz val="20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b/>
      <sz val="10"/>
      <name val="Arial"/>
      <family val="2"/>
    </font>
    <font>
      <b/>
      <sz val="12"/>
      <name val="Arial"/>
      <family val="2"/>
    </font>
    <font>
      <sz val="12"/>
      <name val="Arial"/>
      <family val="2"/>
    </font>
    <font>
      <b/>
      <sz val="14"/>
      <name val="Arial"/>
      <family val="2"/>
    </font>
    <font>
      <sz val="10"/>
      <color indexed="8"/>
      <name val="Arial"/>
      <family val="2"/>
    </font>
    <font>
      <sz val="10"/>
      <name val="Antique Olive"/>
      <family val="2"/>
    </font>
    <font>
      <b/>
      <sz val="11"/>
      <name val="Antique Olive"/>
      <family val="2"/>
    </font>
    <font>
      <sz val="11"/>
      <name val="Antique Olive"/>
      <family val="2"/>
    </font>
    <font>
      <b/>
      <sz val="10"/>
      <name val="Antique Olive"/>
      <family val="2"/>
    </font>
    <font>
      <sz val="12"/>
      <name val="Antique Olive"/>
      <family val="2"/>
    </font>
    <font>
      <b/>
      <sz val="12"/>
      <name val="Antique Olive"/>
      <family val="2"/>
    </font>
    <font>
      <sz val="10"/>
      <color indexed="8"/>
      <name val="Antique Olive"/>
      <family val="2"/>
    </font>
    <font>
      <b/>
      <sz val="10"/>
      <color indexed="8"/>
      <name val="Antique Olive"/>
      <family val="2"/>
    </font>
    <font>
      <sz val="9"/>
      <name val="Arial"/>
      <family val="2"/>
    </font>
    <font>
      <sz val="9"/>
      <name val="Antique Olive"/>
      <family val="2"/>
    </font>
    <font>
      <b/>
      <sz val="12"/>
      <name val="Antique Olive"/>
      <family val="2"/>
    </font>
    <font>
      <b/>
      <sz val="16"/>
      <name val="Antique Olive"/>
      <family val="2"/>
    </font>
    <font>
      <sz val="16"/>
      <name val="Antique Olive"/>
      <family val="2"/>
    </font>
    <font>
      <b/>
      <sz val="14"/>
      <name val="Antique Olive"/>
      <family val="2"/>
    </font>
    <font>
      <sz val="14"/>
      <name val="Antique Olive"/>
      <family val="2"/>
    </font>
    <font>
      <sz val="14"/>
      <color indexed="8"/>
      <name val="Antique Olive"/>
      <family val="2"/>
    </font>
    <font>
      <b/>
      <sz val="14"/>
      <color indexed="8"/>
      <name val="Antique Olive"/>
      <family val="2"/>
    </font>
    <font>
      <b/>
      <sz val="10"/>
      <name val="Antique Olive"/>
      <family val="2"/>
    </font>
    <font>
      <b/>
      <sz val="10"/>
      <color indexed="8"/>
      <name val="Antique Olive"/>
      <family val="2"/>
    </font>
    <font>
      <b/>
      <sz val="10"/>
      <color indexed="8"/>
      <name val="Arial"/>
      <family val="2"/>
    </font>
    <font>
      <b/>
      <sz val="16"/>
      <name val="Arial"/>
      <family val="2"/>
    </font>
    <font>
      <b/>
      <sz val="18"/>
      <name val="Antique Olive"/>
      <family val="2"/>
    </font>
    <font>
      <b/>
      <sz val="18"/>
      <name val="Arial"/>
      <family val="2"/>
    </font>
    <font>
      <sz val="16"/>
      <name val="Arial"/>
      <family val="2"/>
    </font>
    <font>
      <sz val="10"/>
      <color indexed="8"/>
      <name val="Arial"/>
      <family val="2"/>
    </font>
    <font>
      <sz val="10"/>
      <color indexed="8"/>
      <name val="Arial"/>
      <family val="2"/>
    </font>
    <font>
      <sz val="10"/>
      <name val="Tahoma"/>
      <family val="2"/>
    </font>
    <font>
      <sz val="13"/>
      <name val="Tahoma"/>
      <family val="2"/>
    </font>
    <font>
      <sz val="10"/>
      <name val="Calibri"/>
      <family val="2"/>
    </font>
    <font>
      <b/>
      <sz val="12"/>
      <name val="Calibri"/>
      <family val="2"/>
    </font>
    <font>
      <sz val="14"/>
      <name val="Calibri"/>
      <family val="2"/>
    </font>
    <font>
      <sz val="10"/>
      <color indexed="53"/>
      <name val="Tahoma"/>
      <family val="2"/>
    </font>
    <font>
      <sz val="12"/>
      <name val="Arial Narrow"/>
      <family val="2"/>
    </font>
    <font>
      <b/>
      <sz val="10"/>
      <name val="Tahoma"/>
      <family val="2"/>
    </font>
    <font>
      <b/>
      <sz val="18"/>
      <color indexed="63"/>
      <name val="Arial"/>
      <family val="2"/>
    </font>
    <font>
      <sz val="12"/>
      <name val="Tahoma"/>
      <family val="2"/>
    </font>
    <font>
      <sz val="12"/>
      <color indexed="10"/>
      <name val="Tahoma"/>
      <family val="2"/>
    </font>
    <font>
      <sz val="10"/>
      <color indexed="9"/>
      <name val="Tahoma"/>
      <family val="2"/>
    </font>
    <font>
      <sz val="10"/>
      <color indexed="9"/>
      <name val="Arial"/>
      <family val="2"/>
    </font>
    <font>
      <sz val="10"/>
      <color indexed="10"/>
      <name val="Tahoma"/>
      <family val="2"/>
    </font>
    <font>
      <sz val="10"/>
      <color indexed="10"/>
      <name val="Arial"/>
      <family val="2"/>
    </font>
    <font>
      <sz val="10"/>
      <color indexed="53"/>
      <name val="Arial"/>
      <family val="2"/>
    </font>
    <font>
      <b/>
      <sz val="10"/>
      <name val="Palatino Linotype"/>
      <family val="1"/>
    </font>
    <font>
      <sz val="10"/>
      <color rgb="FFFF0000"/>
      <name val="Antique Olive"/>
      <family val="2"/>
    </font>
    <font>
      <sz val="10"/>
      <name val="Century Schoolbook"/>
      <family val="2"/>
      <scheme val="minor"/>
    </font>
    <font>
      <sz val="9"/>
      <name val="Century Schoolbook"/>
      <family val="2"/>
      <scheme val="minor"/>
    </font>
    <font>
      <sz val="6"/>
      <name val="Century Schoolbook"/>
      <family val="2"/>
      <scheme val="minor"/>
    </font>
    <font>
      <b/>
      <sz val="9"/>
      <name val="Century Schoolbook"/>
      <family val="2"/>
      <scheme val="minor"/>
    </font>
    <font>
      <b/>
      <sz val="10"/>
      <name val="Century Schoolbook"/>
      <family val="2"/>
      <scheme val="minor"/>
    </font>
    <font>
      <b/>
      <sz val="12"/>
      <name val="Century Schoolbook"/>
      <family val="2"/>
      <scheme val="minor"/>
    </font>
    <font>
      <sz val="11"/>
      <name val="Century Schoolbook"/>
      <family val="2"/>
      <scheme val="minor"/>
    </font>
    <font>
      <b/>
      <sz val="8"/>
      <name val="Century Schoolbook"/>
      <family val="2"/>
      <scheme val="minor"/>
    </font>
    <font>
      <b/>
      <sz val="11"/>
      <color indexed="9"/>
      <name val="Century Schoolbook"/>
      <family val="2"/>
      <scheme val="minor"/>
    </font>
    <font>
      <b/>
      <sz val="12"/>
      <color indexed="9"/>
      <name val="Century Schoolbook"/>
      <family val="2"/>
      <scheme val="minor"/>
    </font>
    <font>
      <sz val="10"/>
      <color indexed="8"/>
      <name val="Century Schoolbook"/>
      <family val="2"/>
      <scheme val="minor"/>
    </font>
    <font>
      <b/>
      <sz val="11"/>
      <color indexed="8"/>
      <name val="Century Schoolbook"/>
      <family val="2"/>
      <scheme val="minor"/>
    </font>
    <font>
      <b/>
      <sz val="12"/>
      <color indexed="8"/>
      <name val="Century Schoolbook"/>
      <family val="2"/>
      <scheme val="minor"/>
    </font>
    <font>
      <b/>
      <sz val="14"/>
      <color indexed="8"/>
      <name val="Century Schoolbook"/>
      <family val="2"/>
      <scheme val="minor"/>
    </font>
    <font>
      <b/>
      <sz val="16"/>
      <name val="Century Schoolbook"/>
      <family val="2"/>
      <scheme val="minor"/>
    </font>
    <font>
      <b/>
      <sz val="13"/>
      <name val="Century Schoolbook"/>
      <family val="1"/>
      <scheme val="minor"/>
    </font>
  </fonts>
  <fills count="14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AFAF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</fills>
  <borders count="4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thick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</borders>
  <cellStyleXfs count="13">
    <xf numFmtId="0" fontId="0" fillId="0" borderId="0"/>
    <xf numFmtId="43" fontId="1" fillId="0" borderId="0" applyFont="0" applyFill="0" applyBorder="0" applyAlignment="0" applyProtection="0"/>
    <xf numFmtId="43" fontId="3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3" fillId="0" borderId="0" applyFont="0" applyFill="0" applyBorder="0" applyAlignment="0" applyProtection="0"/>
    <xf numFmtId="0" fontId="3" fillId="0" borderId="0"/>
    <xf numFmtId="0" fontId="11" fillId="0" borderId="0">
      <alignment vertical="top"/>
    </xf>
    <xf numFmtId="0" fontId="3" fillId="0" borderId="0"/>
    <xf numFmtId="0" fontId="36" fillId="0" borderId="0">
      <alignment vertical="top"/>
    </xf>
    <xf numFmtId="0" fontId="11" fillId="0" borderId="0">
      <alignment vertical="top"/>
    </xf>
    <xf numFmtId="0" fontId="37" fillId="0" borderId="0">
      <alignment vertical="top"/>
    </xf>
    <xf numFmtId="9" fontId="3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513">
    <xf numFmtId="0" fontId="0" fillId="0" borderId="0" xfId="0"/>
    <xf numFmtId="4" fontId="3" fillId="0" borderId="1" xfId="0" applyNumberFormat="1" applyFont="1" applyFill="1" applyBorder="1" applyAlignment="1" applyProtection="1">
      <alignment vertical="center"/>
    </xf>
    <xf numFmtId="4" fontId="3" fillId="0" borderId="2" xfId="0" applyNumberFormat="1" applyFont="1" applyFill="1" applyBorder="1" applyAlignment="1" applyProtection="1">
      <alignment vertical="center"/>
    </xf>
    <xf numFmtId="4" fontId="3" fillId="0" borderId="3" xfId="0" applyNumberFormat="1" applyFont="1" applyFill="1" applyBorder="1" applyAlignment="1" applyProtection="1">
      <alignment vertical="center"/>
    </xf>
    <xf numFmtId="4" fontId="3" fillId="0" borderId="1" xfId="0" applyNumberFormat="1" applyFont="1" applyFill="1" applyBorder="1" applyAlignment="1" applyProtection="1">
      <alignment horizontal="center" vertical="center"/>
    </xf>
    <xf numFmtId="2" fontId="3" fillId="0" borderId="1" xfId="0" applyNumberFormat="1" applyFont="1" applyFill="1" applyBorder="1" applyAlignment="1">
      <alignment vertical="center"/>
    </xf>
    <xf numFmtId="4" fontId="3" fillId="0" borderId="4" xfId="0" applyNumberFormat="1" applyFont="1" applyFill="1" applyBorder="1" applyAlignment="1">
      <alignment vertical="center"/>
    </xf>
    <xf numFmtId="4" fontId="3" fillId="0" borderId="2" xfId="0" applyNumberFormat="1" applyFont="1" applyFill="1" applyBorder="1" applyAlignment="1" applyProtection="1">
      <alignment horizontal="center" vertical="center"/>
    </xf>
    <xf numFmtId="2" fontId="3" fillId="0" borderId="2" xfId="0" applyNumberFormat="1" applyFont="1" applyFill="1" applyBorder="1" applyAlignment="1">
      <alignment vertical="center"/>
    </xf>
    <xf numFmtId="4" fontId="3" fillId="0" borderId="5" xfId="0" applyNumberFormat="1" applyFont="1" applyFill="1" applyBorder="1" applyAlignment="1">
      <alignment vertical="center"/>
    </xf>
    <xf numFmtId="4" fontId="3" fillId="0" borderId="6" xfId="0" applyNumberFormat="1" applyFont="1" applyFill="1" applyBorder="1" applyAlignment="1" applyProtection="1">
      <alignment vertical="center"/>
    </xf>
    <xf numFmtId="4" fontId="3" fillId="0" borderId="6" xfId="0" applyNumberFormat="1" applyFont="1" applyFill="1" applyBorder="1" applyAlignment="1" applyProtection="1">
      <alignment horizontal="center" vertical="center"/>
    </xf>
    <xf numFmtId="2" fontId="3" fillId="0" borderId="6" xfId="0" applyNumberFormat="1" applyFont="1" applyFill="1" applyBorder="1" applyAlignment="1">
      <alignment vertical="center"/>
    </xf>
    <xf numFmtId="4" fontId="3" fillId="0" borderId="7" xfId="0" applyNumberFormat="1" applyFont="1" applyFill="1" applyBorder="1" applyAlignment="1">
      <alignment vertical="center"/>
    </xf>
    <xf numFmtId="0" fontId="11" fillId="0" borderId="2" xfId="0" applyFont="1" applyFill="1" applyBorder="1" applyAlignment="1">
      <alignment horizontal="center" vertical="center"/>
    </xf>
    <xf numFmtId="4" fontId="7" fillId="0" borderId="8" xfId="0" applyNumberFormat="1" applyFont="1" applyFill="1" applyBorder="1" applyAlignment="1" applyProtection="1">
      <alignment horizontal="center" vertical="center"/>
    </xf>
    <xf numFmtId="4" fontId="17" fillId="0" borderId="0" xfId="0" applyNumberFormat="1" applyFont="1" applyFill="1" applyBorder="1" applyAlignment="1" applyProtection="1">
      <alignment horizontal="center" vertical="center"/>
    </xf>
    <xf numFmtId="0" fontId="2" fillId="0" borderId="0" xfId="0" applyFont="1" applyAlignment="1">
      <alignment vertical="center"/>
    </xf>
    <xf numFmtId="0" fontId="3" fillId="2" borderId="0" xfId="0" applyFont="1" applyFill="1" applyAlignment="1">
      <alignment vertical="center"/>
    </xf>
    <xf numFmtId="0" fontId="3" fillId="2" borderId="0" xfId="0" applyFont="1" applyFill="1" applyBorder="1" applyAlignment="1">
      <alignment vertical="center"/>
    </xf>
    <xf numFmtId="165" fontId="5" fillId="2" borderId="0" xfId="0" applyNumberFormat="1" applyFont="1" applyFill="1" applyAlignment="1" applyProtection="1">
      <alignment horizontal="left" vertical="center"/>
    </xf>
    <xf numFmtId="165" fontId="3" fillId="2" borderId="0" xfId="0" applyNumberFormat="1" applyFont="1" applyFill="1" applyAlignment="1" applyProtection="1">
      <alignment vertical="center"/>
    </xf>
    <xf numFmtId="0" fontId="2" fillId="2" borderId="0" xfId="0" applyFont="1" applyFill="1" applyAlignment="1">
      <alignment vertical="center"/>
    </xf>
    <xf numFmtId="165" fontId="6" fillId="2" borderId="0" xfId="0" applyNumberFormat="1" applyFont="1" applyFill="1" applyAlignment="1" applyProtection="1">
      <alignment horizontal="left" vertical="center"/>
    </xf>
    <xf numFmtId="0" fontId="6" fillId="2" borderId="0" xfId="0" applyFont="1" applyFill="1" applyAlignment="1">
      <alignment vertical="center"/>
    </xf>
    <xf numFmtId="0" fontId="3" fillId="0" borderId="0" xfId="0" applyFont="1" applyFill="1" applyAlignment="1">
      <alignment vertical="center"/>
    </xf>
    <xf numFmtId="165" fontId="3" fillId="0" borderId="0" xfId="0" applyNumberFormat="1" applyFont="1" applyFill="1" applyBorder="1" applyAlignment="1" applyProtection="1">
      <alignment vertical="center"/>
    </xf>
    <xf numFmtId="165" fontId="3" fillId="0" borderId="0" xfId="0" applyNumberFormat="1" applyFont="1" applyFill="1" applyAlignment="1" applyProtection="1">
      <alignment vertical="center"/>
    </xf>
    <xf numFmtId="0" fontId="3" fillId="0" borderId="0" xfId="0" applyFont="1" applyFill="1" applyBorder="1" applyAlignment="1">
      <alignment vertical="center"/>
    </xf>
    <xf numFmtId="165" fontId="5" fillId="0" borderId="0" xfId="0" applyNumberFormat="1" applyFont="1" applyFill="1" applyAlignment="1" applyProtection="1">
      <alignment horizontal="left" vertical="center"/>
    </xf>
    <xf numFmtId="165" fontId="3" fillId="0" borderId="0" xfId="0" applyNumberFormat="1" applyFont="1" applyFill="1" applyAlignment="1" applyProtection="1">
      <alignment horizontal="left" vertical="center"/>
    </xf>
    <xf numFmtId="165" fontId="3" fillId="0" borderId="0" xfId="0" quotePrefix="1" applyNumberFormat="1" applyFont="1" applyFill="1" applyAlignment="1" applyProtection="1">
      <alignment horizontal="left" vertical="center"/>
    </xf>
    <xf numFmtId="4" fontId="3" fillId="0" borderId="0" xfId="0" applyNumberFormat="1" applyFont="1" applyFill="1" applyAlignment="1">
      <alignment vertical="center"/>
    </xf>
    <xf numFmtId="165" fontId="12" fillId="0" borderId="0" xfId="0" applyNumberFormat="1" applyFont="1" applyFill="1" applyAlignment="1" applyProtection="1">
      <alignment horizontal="left" vertical="center"/>
    </xf>
    <xf numFmtId="2" fontId="7" fillId="0" borderId="0" xfId="0" applyNumberFormat="1" applyFont="1" applyFill="1" applyBorder="1" applyAlignment="1" applyProtection="1">
      <alignment horizontal="center" vertical="center"/>
    </xf>
    <xf numFmtId="165" fontId="3" fillId="0" borderId="0" xfId="0" applyNumberFormat="1" applyFont="1" applyFill="1" applyBorder="1" applyAlignment="1" applyProtection="1">
      <alignment horizontal="left" vertical="center"/>
    </xf>
    <xf numFmtId="4" fontId="3" fillId="0" borderId="0" xfId="0" applyNumberFormat="1" applyFont="1" applyFill="1" applyBorder="1" applyAlignment="1">
      <alignment vertical="center"/>
    </xf>
    <xf numFmtId="4" fontId="3" fillId="0" borderId="0" xfId="0" applyNumberFormat="1" applyFont="1" applyFill="1" applyBorder="1" applyAlignment="1" applyProtection="1">
      <alignment vertical="center"/>
    </xf>
    <xf numFmtId="4" fontId="3" fillId="0" borderId="0" xfId="0" applyNumberFormat="1" applyFont="1" applyFill="1" applyAlignment="1" applyProtection="1">
      <alignment vertical="center"/>
    </xf>
    <xf numFmtId="4" fontId="8" fillId="0" borderId="0" xfId="0" applyNumberFormat="1" applyFont="1" applyFill="1" applyBorder="1" applyAlignment="1" applyProtection="1">
      <alignment horizontal="left" vertical="center"/>
    </xf>
    <xf numFmtId="165" fontId="7" fillId="0" borderId="0" xfId="0" applyNumberFormat="1" applyFont="1" applyFill="1" applyBorder="1" applyAlignment="1" applyProtection="1">
      <alignment vertical="center"/>
    </xf>
    <xf numFmtId="4" fontId="7" fillId="0" borderId="0" xfId="0" applyNumberFormat="1" applyFont="1" applyFill="1" applyBorder="1" applyAlignment="1" applyProtection="1">
      <alignment vertical="center"/>
    </xf>
    <xf numFmtId="165" fontId="7" fillId="0" borderId="0" xfId="0" applyNumberFormat="1" applyFont="1" applyFill="1" applyBorder="1" applyAlignment="1" applyProtection="1">
      <alignment horizontal="right" vertical="center"/>
    </xf>
    <xf numFmtId="4" fontId="7" fillId="0" borderId="0" xfId="0" applyNumberFormat="1" applyFont="1" applyFill="1" applyBorder="1" applyAlignment="1" applyProtection="1">
      <alignment horizontal="left" vertical="center"/>
    </xf>
    <xf numFmtId="165" fontId="3" fillId="0" borderId="0" xfId="0" applyNumberFormat="1" applyFont="1" applyFill="1" applyBorder="1" applyAlignment="1" applyProtection="1">
      <alignment horizontal="right" vertical="center"/>
    </xf>
    <xf numFmtId="4" fontId="7" fillId="0" borderId="1" xfId="0" applyNumberFormat="1" applyFont="1" applyFill="1" applyBorder="1" applyAlignment="1" applyProtection="1">
      <alignment horizontal="center" vertical="center"/>
    </xf>
    <xf numFmtId="4" fontId="7" fillId="0" borderId="3" xfId="0" applyNumberFormat="1" applyFont="1" applyFill="1" applyBorder="1" applyAlignment="1" applyProtection="1">
      <alignment horizontal="center" vertical="center"/>
    </xf>
    <xf numFmtId="165" fontId="7" fillId="0" borderId="0" xfId="0" quotePrefix="1" applyNumberFormat="1" applyFont="1" applyFill="1" applyBorder="1" applyAlignment="1" applyProtection="1">
      <alignment horizontal="right" vertical="center"/>
    </xf>
    <xf numFmtId="4" fontId="3" fillId="0" borderId="0" xfId="0" applyNumberFormat="1" applyFont="1" applyFill="1" applyBorder="1" applyAlignment="1" applyProtection="1">
      <alignment horizontal="right" vertical="center"/>
    </xf>
    <xf numFmtId="4" fontId="7" fillId="0" borderId="0" xfId="0" applyNumberFormat="1" applyFont="1" applyFill="1" applyAlignment="1" applyProtection="1">
      <alignment horizontal="left" vertical="center"/>
    </xf>
    <xf numFmtId="4" fontId="3" fillId="0" borderId="0" xfId="0" applyNumberFormat="1" applyFont="1" applyFill="1" applyAlignment="1" applyProtection="1">
      <alignment horizontal="center" vertical="center"/>
    </xf>
    <xf numFmtId="4" fontId="7" fillId="0" borderId="0" xfId="0" applyNumberFormat="1" applyFont="1" applyFill="1" applyAlignment="1" applyProtection="1">
      <alignment horizontal="right" vertical="center"/>
    </xf>
    <xf numFmtId="4" fontId="12" fillId="0" borderId="2" xfId="0" applyNumberFormat="1" applyFont="1" applyFill="1" applyBorder="1" applyAlignment="1" applyProtection="1">
      <alignment horizontal="left" vertical="center"/>
    </xf>
    <xf numFmtId="4" fontId="12" fillId="0" borderId="2" xfId="0" applyNumberFormat="1" applyFont="1" applyFill="1" applyBorder="1" applyAlignment="1" applyProtection="1">
      <alignment horizontal="center" vertical="center"/>
    </xf>
    <xf numFmtId="4" fontId="12" fillId="0" borderId="2" xfId="0" applyNumberFormat="1" applyFont="1" applyFill="1" applyBorder="1" applyAlignment="1">
      <alignment vertical="center"/>
    </xf>
    <xf numFmtId="4" fontId="12" fillId="0" borderId="6" xfId="0" applyNumberFormat="1" applyFont="1" applyFill="1" applyBorder="1" applyAlignment="1">
      <alignment vertical="center"/>
    </xf>
    <xf numFmtId="4" fontId="3" fillId="0" borderId="0" xfId="0" applyNumberFormat="1" applyFont="1" applyFill="1" applyBorder="1" applyAlignment="1" applyProtection="1">
      <alignment horizontal="center" vertical="center"/>
    </xf>
    <xf numFmtId="4" fontId="3" fillId="0" borderId="0" xfId="0" applyNumberFormat="1" applyFont="1" applyFill="1" applyAlignment="1" applyProtection="1">
      <alignment horizontal="left" vertical="center"/>
    </xf>
    <xf numFmtId="4" fontId="7" fillId="0" borderId="0" xfId="0" applyNumberFormat="1" applyFont="1" applyFill="1" applyAlignment="1" applyProtection="1">
      <alignment vertical="center"/>
    </xf>
    <xf numFmtId="4" fontId="7" fillId="0" borderId="0" xfId="0" quotePrefix="1" applyNumberFormat="1" applyFont="1" applyFill="1" applyAlignment="1" applyProtection="1">
      <alignment horizontal="right" vertical="center"/>
    </xf>
    <xf numFmtId="4" fontId="3" fillId="0" borderId="3" xfId="0" applyNumberFormat="1" applyFont="1" applyFill="1" applyBorder="1" applyAlignment="1">
      <alignment vertical="center"/>
    </xf>
    <xf numFmtId="4" fontId="3" fillId="0" borderId="3" xfId="0" applyNumberFormat="1" applyFont="1" applyFill="1" applyBorder="1" applyAlignment="1">
      <alignment horizontal="center" vertical="center"/>
    </xf>
    <xf numFmtId="4" fontId="7" fillId="0" borderId="0" xfId="0" applyNumberFormat="1" applyFont="1" applyFill="1" applyBorder="1" applyAlignment="1" applyProtection="1">
      <alignment horizontal="center" vertical="center"/>
    </xf>
    <xf numFmtId="0" fontId="12" fillId="2" borderId="0" xfId="0" applyFont="1" applyFill="1" applyAlignment="1">
      <alignment vertical="center"/>
    </xf>
    <xf numFmtId="165" fontId="12" fillId="0" borderId="0" xfId="0" applyNumberFormat="1" applyFont="1" applyFill="1" applyBorder="1" applyAlignment="1" applyProtection="1">
      <alignment vertical="center"/>
    </xf>
    <xf numFmtId="165" fontId="12" fillId="0" borderId="0" xfId="0" applyNumberFormat="1" applyFont="1" applyFill="1" applyAlignment="1" applyProtection="1">
      <alignment vertical="center"/>
    </xf>
    <xf numFmtId="165" fontId="12" fillId="0" borderId="0" xfId="0" applyNumberFormat="1" applyFont="1" applyFill="1" applyAlignment="1" applyProtection="1">
      <alignment horizontal="center" vertical="center"/>
    </xf>
    <xf numFmtId="0" fontId="12" fillId="0" borderId="0" xfId="0" applyFont="1" applyFill="1" applyBorder="1" applyAlignment="1">
      <alignment vertical="center"/>
    </xf>
    <xf numFmtId="165" fontId="13" fillId="0" borderId="0" xfId="0" applyNumberFormat="1" applyFont="1" applyFill="1" applyAlignment="1" applyProtection="1">
      <alignment horizontal="left" vertical="center"/>
    </xf>
    <xf numFmtId="165" fontId="14" fillId="0" borderId="0" xfId="0" quotePrefix="1" applyNumberFormat="1" applyFont="1" applyFill="1" applyAlignment="1" applyProtection="1">
      <alignment horizontal="left" vertical="center"/>
    </xf>
    <xf numFmtId="0" fontId="12" fillId="0" borderId="0" xfId="0" applyFont="1" applyFill="1" applyAlignment="1">
      <alignment vertical="center"/>
    </xf>
    <xf numFmtId="165" fontId="20" fillId="0" borderId="0" xfId="0" applyNumberFormat="1" applyFont="1" applyFill="1" applyAlignment="1" applyProtection="1">
      <alignment horizontal="left" vertical="center"/>
    </xf>
    <xf numFmtId="165" fontId="21" fillId="0" borderId="0" xfId="0" applyNumberFormat="1" applyFont="1" applyFill="1" applyAlignment="1" applyProtection="1">
      <alignment horizontal="center" vertical="center"/>
    </xf>
    <xf numFmtId="0" fontId="12" fillId="0" borderId="0" xfId="0" applyFont="1" applyFill="1" applyAlignment="1">
      <alignment horizontal="center" vertical="center"/>
    </xf>
    <xf numFmtId="10" fontId="15" fillId="0" borderId="0" xfId="0" applyNumberFormat="1" applyFont="1" applyFill="1" applyBorder="1" applyAlignment="1" applyProtection="1">
      <alignment horizontal="center" vertical="center"/>
    </xf>
    <xf numFmtId="39" fontId="17" fillId="0" borderId="0" xfId="0" applyNumberFormat="1" applyFont="1" applyFill="1" applyBorder="1" applyAlignment="1" applyProtection="1">
      <alignment horizontal="center" vertical="center"/>
    </xf>
    <xf numFmtId="4" fontId="13" fillId="0" borderId="0" xfId="0" applyNumberFormat="1" applyFont="1" applyFill="1" applyBorder="1" applyAlignment="1" applyProtection="1">
      <alignment vertical="center"/>
    </xf>
    <xf numFmtId="165" fontId="12" fillId="0" borderId="0" xfId="0" applyNumberFormat="1" applyFont="1" applyFill="1" applyBorder="1" applyAlignment="1" applyProtection="1">
      <alignment horizontal="left" vertical="center"/>
    </xf>
    <xf numFmtId="4" fontId="12" fillId="0" borderId="0" xfId="0" applyNumberFormat="1" applyFont="1" applyFill="1" applyBorder="1" applyAlignment="1">
      <alignment vertical="center"/>
    </xf>
    <xf numFmtId="0" fontId="12" fillId="0" borderId="0" xfId="0" applyFont="1" applyFill="1" applyBorder="1" applyAlignment="1">
      <alignment horizontal="center" vertical="center"/>
    </xf>
    <xf numFmtId="4" fontId="12" fillId="0" borderId="0" xfId="0" applyNumberFormat="1" applyFont="1" applyFill="1" applyAlignment="1">
      <alignment vertical="center"/>
    </xf>
    <xf numFmtId="165" fontId="12" fillId="0" borderId="0" xfId="0" applyNumberFormat="1" applyFont="1" applyFill="1" applyBorder="1" applyAlignment="1" applyProtection="1">
      <alignment horizontal="center" vertical="center"/>
    </xf>
    <xf numFmtId="166" fontId="12" fillId="0" borderId="0" xfId="0" applyNumberFormat="1" applyFont="1" applyFill="1" applyBorder="1" applyAlignment="1" applyProtection="1">
      <alignment vertical="center"/>
    </xf>
    <xf numFmtId="165" fontId="17" fillId="0" borderId="0" xfId="0" applyNumberFormat="1" applyFont="1" applyFill="1" applyBorder="1" applyAlignment="1" applyProtection="1">
      <alignment horizontal="right" vertical="center"/>
    </xf>
    <xf numFmtId="4" fontId="17" fillId="0" borderId="0" xfId="0" applyNumberFormat="1" applyFont="1" applyFill="1" applyBorder="1" applyAlignment="1" applyProtection="1">
      <alignment horizontal="left" vertical="center"/>
    </xf>
    <xf numFmtId="4" fontId="12" fillId="0" borderId="0" xfId="0" applyNumberFormat="1" applyFont="1" applyFill="1" applyBorder="1" applyAlignment="1" applyProtection="1">
      <alignment vertical="center"/>
    </xf>
    <xf numFmtId="4" fontId="12" fillId="0" borderId="0" xfId="0" applyNumberFormat="1" applyFont="1" applyFill="1" applyBorder="1" applyAlignment="1" applyProtection="1">
      <alignment horizontal="center" vertical="center"/>
    </xf>
    <xf numFmtId="4" fontId="17" fillId="0" borderId="0" xfId="0" applyNumberFormat="1" applyFont="1" applyFill="1" applyBorder="1" applyAlignment="1" applyProtection="1">
      <alignment horizontal="right" vertical="center"/>
    </xf>
    <xf numFmtId="4" fontId="17" fillId="0" borderId="0" xfId="0" applyNumberFormat="1" applyFont="1" applyFill="1" applyBorder="1" applyAlignment="1" applyProtection="1">
      <alignment vertical="center"/>
    </xf>
    <xf numFmtId="165" fontId="15" fillId="0" borderId="0" xfId="0" applyNumberFormat="1" applyFont="1" applyFill="1" applyBorder="1" applyAlignment="1" applyProtection="1">
      <alignment vertical="center"/>
    </xf>
    <xf numFmtId="4" fontId="15" fillId="0" borderId="0" xfId="0" applyNumberFormat="1" applyFont="1" applyFill="1" applyBorder="1" applyAlignment="1" applyProtection="1">
      <alignment vertical="center"/>
    </xf>
    <xf numFmtId="165" fontId="15" fillId="0" borderId="0" xfId="0" applyNumberFormat="1" applyFont="1" applyFill="1" applyBorder="1" applyAlignment="1" applyProtection="1">
      <alignment horizontal="right" vertical="center"/>
    </xf>
    <xf numFmtId="4" fontId="15" fillId="0" borderId="0" xfId="0" applyNumberFormat="1" applyFont="1" applyFill="1" applyBorder="1" applyAlignment="1" applyProtection="1">
      <alignment horizontal="left" vertical="center"/>
    </xf>
    <xf numFmtId="165" fontId="12" fillId="0" borderId="0" xfId="0" applyNumberFormat="1" applyFont="1" applyFill="1" applyBorder="1" applyAlignment="1" applyProtection="1">
      <alignment horizontal="right" vertical="center"/>
    </xf>
    <xf numFmtId="4" fontId="12" fillId="0" borderId="0" xfId="0" applyNumberFormat="1" applyFont="1" applyFill="1" applyBorder="1" applyAlignment="1">
      <alignment horizontal="center" vertical="center"/>
    </xf>
    <xf numFmtId="4" fontId="15" fillId="0" borderId="3" xfId="0" applyNumberFormat="1" applyFont="1" applyFill="1" applyBorder="1" applyAlignment="1" applyProtection="1">
      <alignment horizontal="centerContinuous" vertical="center"/>
    </xf>
    <xf numFmtId="4" fontId="15" fillId="0" borderId="3" xfId="0" applyNumberFormat="1" applyFont="1" applyFill="1" applyBorder="1" applyAlignment="1" applyProtection="1">
      <alignment horizontal="center" vertical="center"/>
    </xf>
    <xf numFmtId="4" fontId="12" fillId="0" borderId="2" xfId="0" applyNumberFormat="1" applyFont="1" applyFill="1" applyBorder="1" applyAlignment="1" applyProtection="1">
      <alignment vertical="center"/>
    </xf>
    <xf numFmtId="4" fontId="12" fillId="0" borderId="3" xfId="0" applyNumberFormat="1" applyFont="1" applyFill="1" applyBorder="1" applyAlignment="1" applyProtection="1">
      <alignment vertical="center"/>
    </xf>
    <xf numFmtId="4" fontId="12" fillId="0" borderId="1" xfId="0" applyNumberFormat="1" applyFont="1" applyFill="1" applyBorder="1" applyAlignment="1" applyProtection="1">
      <alignment horizontal="center" vertical="center"/>
    </xf>
    <xf numFmtId="4" fontId="12" fillId="0" borderId="6" xfId="0" applyNumberFormat="1" applyFont="1" applyFill="1" applyBorder="1" applyAlignment="1" applyProtection="1">
      <alignment horizontal="center" vertical="center"/>
    </xf>
    <xf numFmtId="4" fontId="12" fillId="0" borderId="0" xfId="0" applyNumberFormat="1" applyFont="1" applyFill="1" applyBorder="1" applyAlignment="1" applyProtection="1">
      <alignment horizontal="centerContinuous" vertical="center"/>
    </xf>
    <xf numFmtId="165" fontId="15" fillId="0" borderId="0" xfId="0" quotePrefix="1" applyNumberFormat="1" applyFont="1" applyFill="1" applyBorder="1" applyAlignment="1" applyProtection="1">
      <alignment horizontal="right" vertical="center"/>
    </xf>
    <xf numFmtId="4" fontId="12" fillId="0" borderId="0" xfId="0" applyNumberFormat="1" applyFont="1" applyFill="1" applyBorder="1" applyAlignment="1" applyProtection="1">
      <alignment horizontal="right" vertical="center"/>
    </xf>
    <xf numFmtId="4" fontId="12" fillId="0" borderId="6" xfId="0" applyNumberFormat="1" applyFont="1" applyFill="1" applyBorder="1" applyAlignment="1">
      <alignment horizontal="center" vertical="center"/>
    </xf>
    <xf numFmtId="4" fontId="12" fillId="0" borderId="0" xfId="0" applyNumberFormat="1" applyFont="1" applyFill="1" applyBorder="1" applyAlignment="1">
      <alignment horizontal="centerContinuous" vertical="center"/>
    </xf>
    <xf numFmtId="4" fontId="15" fillId="0" borderId="0" xfId="0" quotePrefix="1" applyNumberFormat="1" applyFont="1" applyFill="1" applyBorder="1" applyAlignment="1" applyProtection="1">
      <alignment horizontal="left" vertical="center"/>
    </xf>
    <xf numFmtId="4" fontId="12" fillId="0" borderId="2" xfId="0" applyNumberFormat="1" applyFont="1" applyFill="1" applyBorder="1" applyAlignment="1" applyProtection="1">
      <alignment horizontal="right" vertical="center"/>
    </xf>
    <xf numFmtId="4" fontId="12" fillId="0" borderId="1" xfId="0" applyNumberFormat="1" applyFont="1" applyFill="1" applyBorder="1" applyAlignment="1">
      <alignment horizontal="center" vertical="center"/>
    </xf>
    <xf numFmtId="4" fontId="18" fillId="0" borderId="1" xfId="0" applyNumberFormat="1" applyFont="1" applyFill="1" applyBorder="1" applyAlignment="1">
      <alignment horizontal="center" vertical="center"/>
    </xf>
    <xf numFmtId="4" fontId="12" fillId="0" borderId="2" xfId="0" applyNumberFormat="1" applyFont="1" applyFill="1" applyBorder="1" applyAlignment="1">
      <alignment horizontal="center" vertical="center"/>
    </xf>
    <xf numFmtId="4" fontId="12" fillId="0" borderId="6" xfId="0" applyNumberFormat="1" applyFont="1" applyFill="1" applyBorder="1" applyAlignment="1" applyProtection="1">
      <alignment vertical="center"/>
    </xf>
    <xf numFmtId="4" fontId="18" fillId="0" borderId="6" xfId="0" applyNumberFormat="1" applyFont="1" applyFill="1" applyBorder="1" applyAlignment="1" applyProtection="1">
      <alignment horizontal="center" vertical="center"/>
    </xf>
    <xf numFmtId="4" fontId="12" fillId="0" borderId="6" xfId="0" applyNumberFormat="1" applyFont="1" applyFill="1" applyBorder="1" applyAlignment="1" applyProtection="1">
      <alignment horizontal="right" vertical="center"/>
    </xf>
    <xf numFmtId="4" fontId="12" fillId="0" borderId="6" xfId="0" applyNumberFormat="1" applyFont="1" applyFill="1" applyBorder="1" applyAlignment="1" applyProtection="1">
      <alignment horizontal="left" vertical="center"/>
    </xf>
    <xf numFmtId="4" fontId="12" fillId="0" borderId="1" xfId="0" applyNumberFormat="1" applyFont="1" applyFill="1" applyBorder="1" applyAlignment="1" applyProtection="1">
      <alignment horizontal="right" vertical="center"/>
    </xf>
    <xf numFmtId="4" fontId="12" fillId="0" borderId="1" xfId="0" applyNumberFormat="1" applyFont="1" applyFill="1" applyBorder="1" applyAlignment="1" applyProtection="1">
      <alignment horizontal="left" vertical="center"/>
    </xf>
    <xf numFmtId="4" fontId="12" fillId="0" borderId="1" xfId="0" applyNumberFormat="1" applyFont="1" applyFill="1" applyBorder="1" applyAlignment="1" applyProtection="1">
      <alignment vertical="center"/>
    </xf>
    <xf numFmtId="4" fontId="15" fillId="0" borderId="0" xfId="0" applyNumberFormat="1" applyFont="1" applyFill="1" applyBorder="1" applyAlignment="1" applyProtection="1">
      <alignment horizontal="center" vertical="center"/>
    </xf>
    <xf numFmtId="4" fontId="12" fillId="0" borderId="5" xfId="0" applyNumberFormat="1" applyFont="1" applyFill="1" applyBorder="1" applyAlignment="1">
      <alignment vertical="center"/>
    </xf>
    <xf numFmtId="4" fontId="12" fillId="0" borderId="5" xfId="0" applyNumberFormat="1" applyFont="1" applyFill="1" applyBorder="1" applyAlignment="1">
      <alignment horizontal="center" vertical="center"/>
    </xf>
    <xf numFmtId="4" fontId="12" fillId="0" borderId="5" xfId="0" applyNumberFormat="1" applyFont="1" applyFill="1" applyBorder="1" applyAlignment="1" applyProtection="1">
      <alignment horizontal="left" vertical="center"/>
    </xf>
    <xf numFmtId="0" fontId="16" fillId="2" borderId="0" xfId="0" applyFont="1" applyFill="1" applyAlignment="1">
      <alignment vertical="center"/>
    </xf>
    <xf numFmtId="165" fontId="18" fillId="0" borderId="0" xfId="0" applyNumberFormat="1" applyFont="1" applyFill="1" applyBorder="1" applyAlignment="1" applyProtection="1">
      <alignment vertical="center"/>
    </xf>
    <xf numFmtId="165" fontId="19" fillId="0" borderId="0" xfId="0" applyNumberFormat="1" applyFont="1" applyFill="1" applyBorder="1" applyAlignment="1" applyProtection="1">
      <alignment vertical="center"/>
    </xf>
    <xf numFmtId="166" fontId="18" fillId="0" borderId="0" xfId="0" applyNumberFormat="1" applyFont="1" applyFill="1" applyBorder="1" applyAlignment="1" applyProtection="1">
      <alignment vertical="center"/>
    </xf>
    <xf numFmtId="165" fontId="18" fillId="0" borderId="0" xfId="0" applyNumberFormat="1" applyFont="1" applyFill="1" applyBorder="1" applyAlignment="1" applyProtection="1">
      <alignment horizontal="center" vertical="center"/>
    </xf>
    <xf numFmtId="165" fontId="17" fillId="0" borderId="0" xfId="0" applyNumberFormat="1" applyFont="1" applyFill="1" applyAlignment="1" applyProtection="1">
      <alignment horizontal="right" vertical="center"/>
    </xf>
    <xf numFmtId="165" fontId="17" fillId="0" borderId="0" xfId="0" applyNumberFormat="1" applyFont="1" applyFill="1" applyAlignment="1" applyProtection="1">
      <alignment horizontal="left" vertical="center"/>
    </xf>
    <xf numFmtId="4" fontId="17" fillId="0" borderId="0" xfId="0" applyNumberFormat="1" applyFont="1" applyFill="1" applyAlignment="1">
      <alignment horizontal="right" vertical="center"/>
    </xf>
    <xf numFmtId="167" fontId="17" fillId="0" borderId="0" xfId="0" applyNumberFormat="1" applyFont="1" applyFill="1" applyAlignment="1">
      <alignment horizontal="right" vertical="center"/>
    </xf>
    <xf numFmtId="165" fontId="19" fillId="0" borderId="0" xfId="0" applyNumberFormat="1" applyFont="1" applyFill="1" applyAlignment="1" applyProtection="1">
      <alignment horizontal="right" vertical="center"/>
    </xf>
    <xf numFmtId="165" fontId="19" fillId="0" borderId="0" xfId="0" applyNumberFormat="1" applyFont="1" applyFill="1" applyAlignment="1" applyProtection="1">
      <alignment horizontal="left" vertical="center"/>
    </xf>
    <xf numFmtId="165" fontId="18" fillId="0" borderId="0" xfId="0" applyNumberFormat="1" applyFont="1" applyFill="1" applyAlignment="1" applyProtection="1">
      <alignment vertical="center"/>
    </xf>
    <xf numFmtId="165" fontId="15" fillId="0" borderId="3" xfId="0" applyNumberFormat="1" applyFont="1" applyFill="1" applyBorder="1" applyAlignment="1" applyProtection="1">
      <alignment horizontal="center" vertical="center"/>
    </xf>
    <xf numFmtId="2" fontId="18" fillId="0" borderId="3" xfId="0" applyNumberFormat="1" applyFont="1" applyFill="1" applyBorder="1" applyAlignment="1" applyProtection="1">
      <alignment horizontal="right" vertical="center"/>
    </xf>
    <xf numFmtId="39" fontId="16" fillId="0" borderId="0" xfId="0" applyNumberFormat="1" applyFont="1" applyFill="1" applyAlignment="1" applyProtection="1">
      <alignment horizontal="center" vertical="center"/>
    </xf>
    <xf numFmtId="39" fontId="16" fillId="0" borderId="0" xfId="0" applyNumberFormat="1" applyFont="1" applyFill="1" applyAlignment="1" applyProtection="1">
      <alignment vertical="center"/>
    </xf>
    <xf numFmtId="39" fontId="17" fillId="0" borderId="0" xfId="0" applyNumberFormat="1" applyFont="1" applyFill="1" applyAlignment="1" applyProtection="1">
      <alignment horizontal="center" vertical="center"/>
    </xf>
    <xf numFmtId="39" fontId="18" fillId="0" borderId="0" xfId="0" applyNumberFormat="1" applyFont="1" applyFill="1" applyAlignment="1" applyProtection="1">
      <alignment horizontal="center" vertical="center"/>
    </xf>
    <xf numFmtId="39" fontId="18" fillId="0" borderId="0" xfId="0" applyNumberFormat="1" applyFont="1" applyFill="1" applyAlignment="1" applyProtection="1">
      <alignment vertical="center"/>
    </xf>
    <xf numFmtId="4" fontId="18" fillId="0" borderId="6" xfId="0" applyNumberFormat="1" applyFont="1" applyFill="1" applyBorder="1" applyAlignment="1" applyProtection="1">
      <alignment horizontal="right" vertical="center"/>
    </xf>
    <xf numFmtId="165" fontId="18" fillId="0" borderId="0" xfId="0" applyNumberFormat="1" applyFont="1" applyFill="1" applyBorder="1" applyAlignment="1" applyProtection="1">
      <alignment horizontal="left" vertical="center"/>
    </xf>
    <xf numFmtId="165" fontId="18" fillId="0" borderId="0" xfId="0" applyNumberFormat="1" applyFont="1" applyFill="1" applyBorder="1" applyAlignment="1" applyProtection="1">
      <alignment horizontal="centerContinuous" vertical="center"/>
    </xf>
    <xf numFmtId="165" fontId="16" fillId="0" borderId="0" xfId="0" applyNumberFormat="1" applyFont="1" applyFill="1" applyAlignment="1" applyProtection="1">
      <alignment vertical="center"/>
    </xf>
    <xf numFmtId="165" fontId="17" fillId="0" borderId="0" xfId="0" applyNumberFormat="1" applyFont="1" applyFill="1" applyAlignment="1" applyProtection="1">
      <alignment horizontal="center" vertical="center"/>
    </xf>
    <xf numFmtId="166" fontId="16" fillId="0" borderId="0" xfId="0" applyNumberFormat="1" applyFont="1" applyFill="1" applyAlignment="1" applyProtection="1">
      <alignment vertical="center"/>
    </xf>
    <xf numFmtId="165" fontId="19" fillId="0" borderId="0" xfId="0" quotePrefix="1" applyNumberFormat="1" applyFont="1" applyFill="1" applyAlignment="1" applyProtection="1">
      <alignment horizontal="left" vertical="center"/>
    </xf>
    <xf numFmtId="166" fontId="18" fillId="0" borderId="0" xfId="0" applyNumberFormat="1" applyFont="1" applyFill="1" applyAlignment="1" applyProtection="1">
      <alignment vertical="center"/>
    </xf>
    <xf numFmtId="166" fontId="18" fillId="0" borderId="0" xfId="0" applyNumberFormat="1" applyFont="1" applyFill="1" applyAlignment="1" applyProtection="1">
      <alignment horizontal="center" vertical="center"/>
    </xf>
    <xf numFmtId="165" fontId="15" fillId="0" borderId="3" xfId="0" applyNumberFormat="1" applyFont="1" applyFill="1" applyBorder="1" applyAlignment="1" applyProtection="1">
      <alignment horizontal="centerContinuous" vertical="center"/>
    </xf>
    <xf numFmtId="39" fontId="15" fillId="0" borderId="3" xfId="0" applyNumberFormat="1" applyFont="1" applyFill="1" applyBorder="1" applyAlignment="1" applyProtection="1">
      <alignment horizontal="center" vertical="center"/>
    </xf>
    <xf numFmtId="168" fontId="15" fillId="0" borderId="3" xfId="0" applyNumberFormat="1" applyFont="1" applyFill="1" applyBorder="1" applyAlignment="1" applyProtection="1">
      <alignment horizontal="center" vertical="center"/>
    </xf>
    <xf numFmtId="168" fontId="12" fillId="0" borderId="0" xfId="0" applyNumberFormat="1" applyFont="1" applyFill="1" applyBorder="1" applyAlignment="1" applyProtection="1">
      <alignment horizontal="right" vertical="center"/>
    </xf>
    <xf numFmtId="165" fontId="17" fillId="0" borderId="0" xfId="0" quotePrefix="1" applyNumberFormat="1" applyFont="1" applyFill="1" applyAlignment="1" applyProtection="1">
      <alignment horizontal="left" vertical="center"/>
    </xf>
    <xf numFmtId="4" fontId="12" fillId="0" borderId="9" xfId="0" applyNumberFormat="1" applyFont="1" applyFill="1" applyBorder="1" applyAlignment="1" applyProtection="1">
      <alignment horizontal="left" vertical="center"/>
    </xf>
    <xf numFmtId="4" fontId="12" fillId="0" borderId="9" xfId="0" applyNumberFormat="1" applyFont="1" applyFill="1" applyBorder="1" applyAlignment="1" applyProtection="1">
      <alignment horizontal="center" vertical="center"/>
    </xf>
    <xf numFmtId="4" fontId="12" fillId="0" borderId="9" xfId="0" applyNumberFormat="1" applyFont="1" applyFill="1" applyBorder="1" applyAlignment="1" applyProtection="1">
      <alignment horizontal="right" vertical="center"/>
    </xf>
    <xf numFmtId="4" fontId="22" fillId="0" borderId="0" xfId="0" applyNumberFormat="1" applyFont="1" applyFill="1" applyBorder="1" applyAlignment="1">
      <alignment vertical="center"/>
    </xf>
    <xf numFmtId="4" fontId="12" fillId="0" borderId="10" xfId="0" applyNumberFormat="1" applyFont="1" applyFill="1" applyBorder="1" applyAlignment="1" applyProtection="1">
      <alignment horizontal="right" vertical="center"/>
    </xf>
    <xf numFmtId="4" fontId="12" fillId="0" borderId="3" xfId="0" applyNumberFormat="1" applyFont="1" applyFill="1" applyBorder="1" applyAlignment="1" applyProtection="1">
      <alignment horizontal="left" vertical="center"/>
    </xf>
    <xf numFmtId="4" fontId="12" fillId="0" borderId="7" xfId="0" applyNumberFormat="1" applyFont="1" applyFill="1" applyBorder="1" applyAlignment="1" applyProtection="1">
      <alignment horizontal="left" vertical="center"/>
    </xf>
    <xf numFmtId="4" fontId="12" fillId="0" borderId="11" xfId="0" applyNumberFormat="1" applyFont="1" applyFill="1" applyBorder="1" applyAlignment="1" applyProtection="1">
      <alignment horizontal="center" vertical="center"/>
    </xf>
    <xf numFmtId="4" fontId="12" fillId="0" borderId="12" xfId="0" applyNumberFormat="1" applyFont="1" applyFill="1" applyBorder="1" applyAlignment="1" applyProtection="1">
      <alignment horizontal="right" vertical="center"/>
    </xf>
    <xf numFmtId="4" fontId="17" fillId="0" borderId="0" xfId="0" applyNumberFormat="1" applyFont="1" applyFill="1" applyAlignment="1">
      <alignment vertical="center"/>
    </xf>
    <xf numFmtId="4" fontId="12" fillId="0" borderId="0" xfId="0" applyNumberFormat="1" applyFont="1" applyFill="1" applyBorder="1" applyAlignment="1" applyProtection="1">
      <alignment horizontal="left" vertical="center"/>
    </xf>
    <xf numFmtId="165" fontId="12" fillId="0" borderId="0" xfId="0" quotePrefix="1" applyNumberFormat="1" applyFont="1" applyFill="1" applyAlignment="1" applyProtection="1">
      <alignment horizontal="left" vertical="center"/>
    </xf>
    <xf numFmtId="164" fontId="12" fillId="0" borderId="2" xfId="3" applyFont="1" applyFill="1" applyBorder="1" applyAlignment="1">
      <alignment horizontal="center" vertical="center"/>
    </xf>
    <xf numFmtId="165" fontId="4" fillId="0" borderId="0" xfId="0" applyNumberFormat="1" applyFont="1" applyFill="1" applyBorder="1" applyAlignment="1" applyProtection="1">
      <alignment horizontal="center" vertical="center"/>
    </xf>
    <xf numFmtId="165" fontId="20" fillId="0" borderId="3" xfId="0" applyNumberFormat="1" applyFont="1" applyFill="1" applyBorder="1" applyAlignment="1" applyProtection="1">
      <alignment horizontal="left" vertical="center"/>
    </xf>
    <xf numFmtId="165" fontId="5" fillId="0" borderId="13" xfId="0" applyNumberFormat="1" applyFont="1" applyFill="1" applyBorder="1" applyAlignment="1" applyProtection="1">
      <alignment horizontal="left" vertical="center"/>
    </xf>
    <xf numFmtId="4" fontId="9" fillId="0" borderId="3" xfId="0" applyNumberFormat="1" applyFont="1" applyFill="1" applyBorder="1" applyAlignment="1">
      <alignment vertical="center"/>
    </xf>
    <xf numFmtId="4" fontId="9" fillId="0" borderId="14" xfId="0" applyNumberFormat="1" applyFont="1" applyFill="1" applyBorder="1" applyAlignment="1">
      <alignment vertical="center"/>
    </xf>
    <xf numFmtId="165" fontId="4" fillId="3" borderId="7" xfId="0" applyNumberFormat="1" applyFont="1" applyFill="1" applyBorder="1" applyAlignment="1" applyProtection="1">
      <alignment horizontal="center" vertical="center"/>
    </xf>
    <xf numFmtId="165" fontId="4" fillId="3" borderId="11" xfId="0" applyNumberFormat="1" applyFont="1" applyFill="1" applyBorder="1" applyAlignment="1" applyProtection="1">
      <alignment horizontal="center" vertical="center"/>
    </xf>
    <xf numFmtId="4" fontId="7" fillId="0" borderId="0" xfId="0" applyNumberFormat="1" applyFont="1" applyFill="1" applyBorder="1" applyAlignment="1" applyProtection="1">
      <alignment horizontal="right" vertical="center"/>
    </xf>
    <xf numFmtId="165" fontId="3" fillId="0" borderId="0" xfId="0" applyNumberFormat="1" applyFont="1" applyFill="1" applyAlignment="1" applyProtection="1">
      <alignment horizontal="center" vertical="center"/>
    </xf>
    <xf numFmtId="4" fontId="3" fillId="0" borderId="0" xfId="0" applyNumberFormat="1" applyFont="1" applyFill="1" applyBorder="1" applyAlignment="1">
      <alignment horizontal="center" vertical="center"/>
    </xf>
    <xf numFmtId="166" fontId="3" fillId="0" borderId="0" xfId="0" applyNumberFormat="1" applyFont="1" applyFill="1" applyBorder="1" applyAlignment="1" applyProtection="1">
      <alignment horizontal="center" vertical="center"/>
    </xf>
    <xf numFmtId="0" fontId="3" fillId="0" borderId="0" xfId="0" applyFont="1" applyFill="1" applyAlignment="1">
      <alignment horizontal="center" vertical="center"/>
    </xf>
    <xf numFmtId="4" fontId="12" fillId="0" borderId="3" xfId="0" applyNumberFormat="1" applyFont="1" applyFill="1" applyBorder="1" applyAlignment="1">
      <alignment horizontal="center" vertical="center"/>
    </xf>
    <xf numFmtId="4" fontId="12" fillId="0" borderId="3" xfId="0" applyNumberFormat="1" applyFont="1" applyFill="1" applyBorder="1" applyAlignment="1" applyProtection="1">
      <alignment horizontal="center" vertical="center"/>
    </xf>
    <xf numFmtId="0" fontId="12" fillId="2" borderId="0" xfId="5" applyFont="1" applyFill="1"/>
    <xf numFmtId="0" fontId="12" fillId="2" borderId="0" xfId="5" applyFont="1" applyFill="1" applyBorder="1"/>
    <xf numFmtId="4" fontId="12" fillId="2" borderId="0" xfId="5" applyNumberFormat="1" applyFont="1" applyFill="1"/>
    <xf numFmtId="4" fontId="18" fillId="0" borderId="3" xfId="0" applyNumberFormat="1" applyFont="1" applyFill="1" applyBorder="1" applyAlignment="1">
      <alignment horizontal="center" vertical="center"/>
    </xf>
    <xf numFmtId="4" fontId="12" fillId="0" borderId="4" xfId="0" applyNumberFormat="1" applyFont="1" applyFill="1" applyBorder="1" applyAlignment="1" applyProtection="1">
      <alignment vertical="center"/>
    </xf>
    <xf numFmtId="4" fontId="18" fillId="0" borderId="15" xfId="0" applyNumberFormat="1" applyFont="1" applyFill="1" applyBorder="1" applyAlignment="1" applyProtection="1">
      <alignment horizontal="center" vertical="center"/>
    </xf>
    <xf numFmtId="4" fontId="12" fillId="0" borderId="16" xfId="0" applyNumberFormat="1" applyFont="1" applyFill="1" applyBorder="1" applyAlignment="1" applyProtection="1">
      <alignment horizontal="right" vertical="center"/>
    </xf>
    <xf numFmtId="4" fontId="12" fillId="2" borderId="0" xfId="0" applyNumberFormat="1" applyFont="1" applyFill="1" applyAlignment="1">
      <alignment vertical="center"/>
    </xf>
    <xf numFmtId="167" fontId="12" fillId="0" borderId="0" xfId="0" applyNumberFormat="1" applyFont="1" applyFill="1" applyAlignment="1">
      <alignment vertical="center"/>
    </xf>
    <xf numFmtId="4" fontId="7" fillId="4" borderId="0" xfId="0" applyNumberFormat="1" applyFont="1" applyFill="1" applyBorder="1" applyAlignment="1" applyProtection="1">
      <alignment horizontal="left" vertical="center"/>
    </xf>
    <xf numFmtId="4" fontId="3" fillId="4" borderId="0" xfId="0" applyNumberFormat="1" applyFont="1" applyFill="1" applyBorder="1" applyAlignment="1" applyProtection="1">
      <alignment horizontal="center" vertical="center"/>
    </xf>
    <xf numFmtId="4" fontId="3" fillId="4" borderId="0" xfId="0" applyNumberFormat="1" applyFont="1" applyFill="1" applyBorder="1" applyAlignment="1" applyProtection="1">
      <alignment vertical="center"/>
    </xf>
    <xf numFmtId="4" fontId="7" fillId="4" borderId="0" xfId="0" applyNumberFormat="1" applyFont="1" applyFill="1" applyAlignment="1" applyProtection="1">
      <alignment horizontal="left" vertical="center"/>
    </xf>
    <xf numFmtId="4" fontId="3" fillId="4" borderId="0" xfId="0" applyNumberFormat="1" applyFont="1" applyFill="1" applyAlignment="1" applyProtection="1">
      <alignment horizontal="center" vertical="center"/>
    </xf>
    <xf numFmtId="4" fontId="7" fillId="5" borderId="0" xfId="0" applyNumberFormat="1" applyFont="1" applyFill="1" applyBorder="1" applyAlignment="1" applyProtection="1">
      <alignment vertical="center"/>
    </xf>
    <xf numFmtId="4" fontId="3" fillId="5" borderId="0" xfId="0" applyNumberFormat="1" applyFont="1" applyFill="1" applyBorder="1" applyAlignment="1" applyProtection="1">
      <alignment horizontal="center" vertical="center"/>
    </xf>
    <xf numFmtId="4" fontId="3" fillId="5" borderId="0" xfId="0" applyNumberFormat="1" applyFont="1" applyFill="1" applyBorder="1" applyAlignment="1" applyProtection="1">
      <alignment vertical="center"/>
    </xf>
    <xf numFmtId="39" fontId="12" fillId="2" borderId="3" xfId="5" applyNumberFormat="1" applyFont="1" applyFill="1" applyBorder="1" applyAlignment="1" applyProtection="1">
      <alignment vertical="center"/>
    </xf>
    <xf numFmtId="0" fontId="12" fillId="2" borderId="3" xfId="5" applyFont="1" applyFill="1" applyBorder="1"/>
    <xf numFmtId="4" fontId="12" fillId="2" borderId="14" xfId="5" applyNumberFormat="1" applyFont="1" applyFill="1" applyBorder="1" applyAlignment="1">
      <alignment vertical="center"/>
    </xf>
    <xf numFmtId="39" fontId="12" fillId="2" borderId="3" xfId="5" applyNumberFormat="1" applyFont="1" applyFill="1" applyBorder="1" applyAlignment="1" applyProtection="1">
      <alignment horizontal="left" vertical="center"/>
    </xf>
    <xf numFmtId="4" fontId="15" fillId="2" borderId="17" xfId="5" applyNumberFormat="1" applyFont="1" applyFill="1" applyBorder="1" applyAlignment="1" applyProtection="1">
      <alignment vertical="center"/>
    </xf>
    <xf numFmtId="165" fontId="12" fillId="2" borderId="18" xfId="5" applyNumberFormat="1" applyFont="1" applyFill="1" applyBorder="1" applyAlignment="1" applyProtection="1">
      <alignment horizontal="left" vertical="center"/>
    </xf>
    <xf numFmtId="39" fontId="12" fillId="2" borderId="6" xfId="5" applyNumberFormat="1" applyFont="1" applyFill="1" applyBorder="1" applyAlignment="1" applyProtection="1">
      <alignment vertical="center"/>
    </xf>
    <xf numFmtId="0" fontId="12" fillId="2" borderId="6" xfId="5" applyFont="1" applyFill="1" applyBorder="1"/>
    <xf numFmtId="4" fontId="12" fillId="2" borderId="19" xfId="5" applyNumberFormat="1" applyFont="1" applyFill="1" applyBorder="1" applyAlignment="1">
      <alignment vertical="center"/>
    </xf>
    <xf numFmtId="0" fontId="12" fillId="6" borderId="0" xfId="5" applyFont="1" applyFill="1" applyBorder="1"/>
    <xf numFmtId="2" fontId="15" fillId="0" borderId="0" xfId="0" applyNumberFormat="1" applyFont="1" applyFill="1" applyBorder="1" applyAlignment="1" applyProtection="1">
      <alignment horizontal="right" vertical="center"/>
    </xf>
    <xf numFmtId="165" fontId="17" fillId="0" borderId="0" xfId="5" applyNumberFormat="1" applyFont="1" applyFill="1" applyBorder="1" applyAlignment="1" applyProtection="1">
      <alignment horizontal="left"/>
    </xf>
    <xf numFmtId="4" fontId="17" fillId="0" borderId="0" xfId="5" applyNumberFormat="1" applyFont="1" applyFill="1" applyBorder="1" applyAlignment="1" applyProtection="1">
      <alignment horizontal="left"/>
    </xf>
    <xf numFmtId="4" fontId="12" fillId="0" borderId="0" xfId="5" applyNumberFormat="1" applyFont="1" applyFill="1" applyBorder="1" applyProtection="1"/>
    <xf numFmtId="4" fontId="17" fillId="0" borderId="0" xfId="5" applyNumberFormat="1" applyFont="1" applyFill="1" applyBorder="1" applyAlignment="1" applyProtection="1">
      <alignment horizontal="right"/>
    </xf>
    <xf numFmtId="4" fontId="17" fillId="0" borderId="0" xfId="5" applyNumberFormat="1" applyFont="1" applyFill="1" applyBorder="1" applyProtection="1"/>
    <xf numFmtId="2" fontId="15" fillId="5" borderId="0" xfId="0" applyNumberFormat="1" applyFont="1" applyFill="1" applyBorder="1" applyAlignment="1" applyProtection="1">
      <alignment horizontal="right" vertical="center"/>
    </xf>
    <xf numFmtId="4" fontId="15" fillId="5" borderId="0" xfId="0" applyNumberFormat="1" applyFont="1" applyFill="1" applyBorder="1" applyAlignment="1" applyProtection="1">
      <alignment horizontal="left" vertical="center"/>
    </xf>
    <xf numFmtId="4" fontId="12" fillId="5" borderId="0" xfId="0" applyNumberFormat="1" applyFont="1" applyFill="1" applyBorder="1" applyAlignment="1" applyProtection="1">
      <alignment vertical="center"/>
    </xf>
    <xf numFmtId="4" fontId="12" fillId="5" borderId="0" xfId="0" applyNumberFormat="1" applyFont="1" applyFill="1" applyBorder="1" applyAlignment="1" applyProtection="1">
      <alignment horizontal="center" vertical="center"/>
    </xf>
    <xf numFmtId="4" fontId="17" fillId="5" borderId="0" xfId="0" applyNumberFormat="1" applyFont="1" applyFill="1" applyBorder="1" applyAlignment="1" applyProtection="1">
      <alignment horizontal="center" vertical="center"/>
    </xf>
    <xf numFmtId="4" fontId="17" fillId="5" borderId="0" xfId="0" applyNumberFormat="1" applyFont="1" applyFill="1" applyBorder="1" applyAlignment="1" applyProtection="1">
      <alignment horizontal="right" vertical="center"/>
    </xf>
    <xf numFmtId="4" fontId="17" fillId="5" borderId="0" xfId="0" applyNumberFormat="1" applyFont="1" applyFill="1" applyBorder="1" applyAlignment="1" applyProtection="1">
      <alignment vertical="center"/>
    </xf>
    <xf numFmtId="0" fontId="12" fillId="0" borderId="0" xfId="5" applyFont="1" applyFill="1" applyBorder="1"/>
    <xf numFmtId="0" fontId="12" fillId="0" borderId="0" xfId="5" applyFont="1" applyFill="1"/>
    <xf numFmtId="165" fontId="15" fillId="7" borderId="20" xfId="5" applyNumberFormat="1" applyFont="1" applyFill="1" applyBorder="1" applyAlignment="1" applyProtection="1">
      <alignment horizontal="center" vertical="center"/>
    </xf>
    <xf numFmtId="0" fontId="15" fillId="7" borderId="21" xfId="5" applyFont="1" applyFill="1" applyBorder="1" applyAlignment="1">
      <alignment horizontal="center" vertical="center"/>
    </xf>
    <xf numFmtId="4" fontId="17" fillId="0" borderId="0" xfId="5" applyNumberFormat="1" applyFont="1" applyFill="1" applyBorder="1" applyAlignment="1" applyProtection="1"/>
    <xf numFmtId="165" fontId="15" fillId="5" borderId="0" xfId="0" applyNumberFormat="1" applyFont="1" applyFill="1" applyBorder="1" applyAlignment="1" applyProtection="1">
      <alignment horizontal="right" vertical="center"/>
    </xf>
    <xf numFmtId="4" fontId="7" fillId="5" borderId="0" xfId="0" applyNumberFormat="1" applyFont="1" applyFill="1" applyBorder="1" applyAlignment="1" applyProtection="1">
      <alignment horizontal="left" vertical="center"/>
    </xf>
    <xf numFmtId="4" fontId="12" fillId="5" borderId="0" xfId="0" applyNumberFormat="1" applyFont="1" applyFill="1" applyBorder="1" applyAlignment="1">
      <alignment vertical="center"/>
    </xf>
    <xf numFmtId="165" fontId="23" fillId="0" borderId="0" xfId="0" quotePrefix="1" applyNumberFormat="1" applyFont="1" applyFill="1" applyBorder="1" applyAlignment="1" applyProtection="1">
      <alignment horizontal="centerContinuous" vertical="center"/>
    </xf>
    <xf numFmtId="165" fontId="24" fillId="0" borderId="0" xfId="0" applyNumberFormat="1" applyFont="1" applyFill="1" applyBorder="1" applyAlignment="1" applyProtection="1">
      <alignment horizontal="centerContinuous" vertical="center"/>
    </xf>
    <xf numFmtId="166" fontId="24" fillId="0" borderId="0" xfId="0" applyNumberFormat="1" applyFont="1" applyFill="1" applyBorder="1" applyAlignment="1" applyProtection="1">
      <alignment horizontal="centerContinuous" vertical="center"/>
    </xf>
    <xf numFmtId="165" fontId="24" fillId="0" borderId="0" xfId="0" applyNumberFormat="1" applyFont="1" applyFill="1" applyBorder="1" applyAlignment="1" applyProtection="1">
      <alignment horizontal="center" vertical="center"/>
    </xf>
    <xf numFmtId="0" fontId="55" fillId="0" borderId="0" xfId="0" applyFont="1" applyFill="1" applyAlignment="1">
      <alignment vertical="center"/>
    </xf>
    <xf numFmtId="4" fontId="18" fillId="0" borderId="6" xfId="0" applyNumberFormat="1" applyFont="1" applyFill="1" applyBorder="1" applyAlignment="1">
      <alignment horizontal="center" vertical="center"/>
    </xf>
    <xf numFmtId="4" fontId="13" fillId="0" borderId="0" xfId="0" applyNumberFormat="1" applyFont="1" applyFill="1" applyBorder="1" applyAlignment="1" applyProtection="1">
      <alignment horizontal="left" vertical="center"/>
    </xf>
    <xf numFmtId="4" fontId="17" fillId="8" borderId="22" xfId="5" applyNumberFormat="1" applyFont="1" applyFill="1" applyBorder="1" applyAlignment="1" applyProtection="1"/>
    <xf numFmtId="0" fontId="12" fillId="8" borderId="23" xfId="5" applyFont="1" applyFill="1" applyBorder="1"/>
    <xf numFmtId="4" fontId="12" fillId="8" borderId="23" xfId="5" applyNumberFormat="1" applyFont="1" applyFill="1" applyBorder="1" applyProtection="1"/>
    <xf numFmtId="4" fontId="17" fillId="8" borderId="23" xfId="5" applyNumberFormat="1" applyFont="1" applyFill="1" applyBorder="1" applyAlignment="1" applyProtection="1">
      <alignment horizontal="right"/>
    </xf>
    <xf numFmtId="4" fontId="17" fillId="8" borderId="8" xfId="5" applyNumberFormat="1" applyFont="1" applyFill="1" applyBorder="1" applyProtection="1"/>
    <xf numFmtId="165" fontId="17" fillId="8" borderId="22" xfId="5" applyNumberFormat="1" applyFont="1" applyFill="1" applyBorder="1" applyAlignment="1" applyProtection="1">
      <alignment horizontal="left"/>
    </xf>
    <xf numFmtId="4" fontId="17" fillId="8" borderId="23" xfId="5" applyNumberFormat="1" applyFont="1" applyFill="1" applyBorder="1" applyAlignment="1" applyProtection="1">
      <alignment horizontal="left"/>
    </xf>
    <xf numFmtId="10" fontId="10" fillId="3" borderId="24" xfId="12" applyNumberFormat="1" applyFont="1" applyFill="1" applyBorder="1" applyAlignment="1" applyProtection="1">
      <alignment vertical="center"/>
    </xf>
    <xf numFmtId="165" fontId="25" fillId="0" borderId="0" xfId="0" quotePrefix="1" applyNumberFormat="1" applyFont="1" applyFill="1" applyBorder="1" applyAlignment="1" applyProtection="1">
      <alignment horizontal="centerContinuous" vertical="center"/>
    </xf>
    <xf numFmtId="165" fontId="26" fillId="0" borderId="0" xfId="0" applyNumberFormat="1" applyFont="1" applyFill="1" applyBorder="1" applyAlignment="1" applyProtection="1">
      <alignment horizontal="centerContinuous" vertical="center"/>
    </xf>
    <xf numFmtId="166" fontId="26" fillId="0" borderId="0" xfId="0" applyNumberFormat="1" applyFont="1" applyFill="1" applyBorder="1" applyAlignment="1" applyProtection="1">
      <alignment horizontal="centerContinuous" vertical="center"/>
    </xf>
    <xf numFmtId="165" fontId="26" fillId="0" borderId="0" xfId="0" applyNumberFormat="1" applyFont="1" applyFill="1" applyBorder="1" applyAlignment="1" applyProtection="1">
      <alignment horizontal="center" vertical="center"/>
    </xf>
    <xf numFmtId="165" fontId="27" fillId="0" borderId="0" xfId="0" applyNumberFormat="1" applyFont="1" applyFill="1" applyBorder="1" applyAlignment="1" applyProtection="1">
      <alignment vertical="center"/>
    </xf>
    <xf numFmtId="165" fontId="28" fillId="0" borderId="0" xfId="0" applyNumberFormat="1" applyFont="1" applyFill="1" applyBorder="1" applyAlignment="1" applyProtection="1">
      <alignment vertical="center"/>
    </xf>
    <xf numFmtId="166" fontId="27" fillId="0" borderId="0" xfId="0" applyNumberFormat="1" applyFont="1" applyFill="1" applyBorder="1" applyAlignment="1" applyProtection="1">
      <alignment vertical="center"/>
    </xf>
    <xf numFmtId="165" fontId="27" fillId="0" borderId="0" xfId="0" applyNumberFormat="1" applyFont="1" applyFill="1" applyBorder="1" applyAlignment="1" applyProtection="1">
      <alignment horizontal="center" vertical="center"/>
    </xf>
    <xf numFmtId="43" fontId="12" fillId="2" borderId="0" xfId="1" applyFont="1" applyFill="1" applyAlignment="1">
      <alignment vertical="center"/>
    </xf>
    <xf numFmtId="170" fontId="12" fillId="2" borderId="0" xfId="0" applyNumberFormat="1" applyFont="1" applyFill="1" applyAlignment="1">
      <alignment vertical="center"/>
    </xf>
    <xf numFmtId="165" fontId="12" fillId="0" borderId="25" xfId="0" applyNumberFormat="1" applyFont="1" applyFill="1" applyBorder="1" applyAlignment="1" applyProtection="1">
      <alignment vertical="center" wrapText="1"/>
    </xf>
    <xf numFmtId="4" fontId="7" fillId="0" borderId="3" xfId="0" applyNumberFormat="1" applyFont="1" applyFill="1" applyBorder="1" applyAlignment="1">
      <alignment vertical="center"/>
    </xf>
    <xf numFmtId="4" fontId="7" fillId="0" borderId="6" xfId="0" applyNumberFormat="1" applyFont="1" applyFill="1" applyBorder="1" applyAlignment="1" applyProtection="1">
      <alignment vertical="center"/>
    </xf>
    <xf numFmtId="165" fontId="8" fillId="0" borderId="0" xfId="0" applyNumberFormat="1" applyFont="1" applyFill="1" applyBorder="1" applyAlignment="1" applyProtection="1">
      <alignment horizontal="center" vertical="center"/>
    </xf>
    <xf numFmtId="4" fontId="29" fillId="0" borderId="3" xfId="0" applyNumberFormat="1" applyFont="1" applyFill="1" applyBorder="1" applyAlignment="1" applyProtection="1">
      <alignment vertical="center"/>
    </xf>
    <xf numFmtId="0" fontId="12" fillId="0" borderId="3" xfId="0" applyFont="1" applyFill="1" applyBorder="1" applyAlignment="1">
      <alignment vertical="center"/>
    </xf>
    <xf numFmtId="0" fontId="12" fillId="0" borderId="3" xfId="0" applyFont="1" applyFill="1" applyBorder="1" applyAlignment="1">
      <alignment horizontal="center" vertical="center"/>
    </xf>
    <xf numFmtId="0" fontId="29" fillId="0" borderId="3" xfId="0" applyFont="1" applyFill="1" applyBorder="1" applyAlignment="1">
      <alignment horizontal="center" vertical="center"/>
    </xf>
    <xf numFmtId="0" fontId="29" fillId="0" borderId="3" xfId="0" applyFont="1" applyFill="1" applyBorder="1" applyAlignment="1">
      <alignment horizontal="left" vertical="center"/>
    </xf>
    <xf numFmtId="165" fontId="23" fillId="0" borderId="0" xfId="0" applyNumberFormat="1" applyFont="1" applyFill="1" applyBorder="1" applyAlignment="1" applyProtection="1">
      <alignment vertical="center"/>
    </xf>
    <xf numFmtId="2" fontId="30" fillId="0" borderId="3" xfId="0" applyNumberFormat="1" applyFont="1" applyFill="1" applyBorder="1" applyAlignment="1" applyProtection="1">
      <alignment horizontal="right" vertical="center"/>
    </xf>
    <xf numFmtId="165" fontId="25" fillId="0" borderId="0" xfId="0" applyNumberFormat="1" applyFont="1" applyFill="1" applyBorder="1" applyAlignment="1" applyProtection="1">
      <alignment vertical="center"/>
    </xf>
    <xf numFmtId="2" fontId="25" fillId="0" borderId="0" xfId="0" applyNumberFormat="1" applyFont="1" applyFill="1" applyBorder="1" applyAlignment="1" applyProtection="1">
      <alignment horizontal="left" vertical="center"/>
    </xf>
    <xf numFmtId="4" fontId="12" fillId="0" borderId="4" xfId="0" applyNumberFormat="1" applyFont="1" applyFill="1" applyBorder="1" applyAlignment="1" applyProtection="1">
      <alignment horizontal="left" vertical="center"/>
    </xf>
    <xf numFmtId="0" fontId="11" fillId="0" borderId="1" xfId="0" applyFont="1" applyFill="1" applyBorder="1" applyAlignment="1">
      <alignment horizontal="center" vertical="center"/>
    </xf>
    <xf numFmtId="4" fontId="12" fillId="0" borderId="15" xfId="0" applyNumberFormat="1" applyFont="1" applyFill="1" applyBorder="1" applyAlignment="1" applyProtection="1">
      <alignment horizontal="center" vertical="center"/>
    </xf>
    <xf numFmtId="4" fontId="18" fillId="0" borderId="2" xfId="0" applyNumberFormat="1" applyFont="1" applyFill="1" applyBorder="1" applyAlignment="1" applyProtection="1">
      <alignment horizontal="center" vertical="center"/>
    </xf>
    <xf numFmtId="4" fontId="18" fillId="0" borderId="2" xfId="0" applyNumberFormat="1" applyFont="1" applyFill="1" applyBorder="1" applyAlignment="1" applyProtection="1">
      <alignment horizontal="right" vertical="center"/>
    </xf>
    <xf numFmtId="4" fontId="5" fillId="9" borderId="26" xfId="0" applyNumberFormat="1" applyFont="1" applyFill="1" applyBorder="1" applyAlignment="1">
      <alignment horizontal="center" vertical="center" wrapText="1"/>
    </xf>
    <xf numFmtId="4" fontId="5" fillId="9" borderId="27" xfId="0" applyNumberFormat="1" applyFont="1" applyFill="1" applyBorder="1" applyAlignment="1">
      <alignment horizontal="center" vertical="center" wrapText="1"/>
    </xf>
    <xf numFmtId="4" fontId="10" fillId="3" borderId="28" xfId="0" applyNumberFormat="1" applyFont="1" applyFill="1" applyBorder="1" applyAlignment="1" applyProtection="1">
      <alignment vertical="center"/>
    </xf>
    <xf numFmtId="4" fontId="10" fillId="3" borderId="29" xfId="0" applyNumberFormat="1" applyFont="1" applyFill="1" applyBorder="1" applyAlignment="1" applyProtection="1">
      <alignment vertical="center"/>
    </xf>
    <xf numFmtId="0" fontId="3" fillId="0" borderId="3" xfId="0" applyFont="1" applyFill="1" applyBorder="1" applyAlignment="1">
      <alignment vertical="center"/>
    </xf>
    <xf numFmtId="0" fontId="3" fillId="0" borderId="22" xfId="0" applyFont="1" applyFill="1" applyBorder="1" applyAlignment="1" applyProtection="1">
      <alignment horizontal="left" vertical="center"/>
    </xf>
    <xf numFmtId="0" fontId="3" fillId="0" borderId="3" xfId="0" applyFont="1" applyFill="1" applyBorder="1" applyAlignment="1" applyProtection="1">
      <alignment horizontal="left" vertical="center"/>
    </xf>
    <xf numFmtId="4" fontId="3" fillId="0" borderId="3" xfId="0" applyNumberFormat="1" applyFont="1" applyFill="1" applyBorder="1" applyAlignment="1" applyProtection="1">
      <alignment horizontal="right" vertical="center"/>
    </xf>
    <xf numFmtId="4" fontId="3" fillId="0" borderId="8" xfId="0" applyNumberFormat="1" applyFont="1" applyFill="1" applyBorder="1" applyAlignment="1" applyProtection="1">
      <alignment horizontal="right" vertical="center"/>
    </xf>
    <xf numFmtId="0" fontId="3" fillId="0" borderId="11" xfId="0" applyFont="1" applyFill="1" applyBorder="1" applyAlignment="1">
      <alignment horizontal="left" vertical="center"/>
    </xf>
    <xf numFmtId="0" fontId="3" fillId="0" borderId="12" xfId="0" applyFont="1" applyFill="1" applyBorder="1" applyAlignment="1">
      <alignment horizontal="left" vertical="center"/>
    </xf>
    <xf numFmtId="4" fontId="3" fillId="0" borderId="19" xfId="0" applyNumberFormat="1" applyFont="1" applyFill="1" applyBorder="1" applyAlignment="1">
      <alignment vertical="center"/>
    </xf>
    <xf numFmtId="0" fontId="3" fillId="0" borderId="23" xfId="0" applyFont="1" applyFill="1" applyBorder="1" applyAlignment="1">
      <alignment horizontal="left" vertical="center"/>
    </xf>
    <xf numFmtId="0" fontId="3" fillId="0" borderId="8" xfId="0" applyFont="1" applyFill="1" applyBorder="1" applyAlignment="1">
      <alignment horizontal="left" vertical="center"/>
    </xf>
    <xf numFmtId="4" fontId="3" fillId="0" borderId="14" xfId="0" applyNumberFormat="1" applyFont="1" applyFill="1" applyBorder="1" applyAlignment="1">
      <alignment vertical="center"/>
    </xf>
    <xf numFmtId="0" fontId="3" fillId="0" borderId="15" xfId="0" applyFont="1" applyFill="1" applyBorder="1" applyAlignment="1">
      <alignment horizontal="left" vertical="center"/>
    </xf>
    <xf numFmtId="0" fontId="3" fillId="0" borderId="16" xfId="0" applyFont="1" applyFill="1" applyBorder="1" applyAlignment="1">
      <alignment horizontal="left" vertical="center"/>
    </xf>
    <xf numFmtId="4" fontId="3" fillId="0" borderId="30" xfId="0" applyNumberFormat="1" applyFont="1" applyFill="1" applyBorder="1" applyAlignment="1">
      <alignment vertical="center"/>
    </xf>
    <xf numFmtId="169" fontId="31" fillId="0" borderId="0" xfId="0" applyNumberFormat="1" applyFont="1" applyAlignment="1">
      <alignment horizontal="right" vertical="center"/>
    </xf>
    <xf numFmtId="4" fontId="3" fillId="0" borderId="2" xfId="0" applyNumberFormat="1" applyFont="1" applyFill="1" applyBorder="1" applyAlignment="1" applyProtection="1">
      <alignment horizontal="left" vertical="center"/>
    </xf>
    <xf numFmtId="4" fontId="3" fillId="0" borderId="1" xfId="0" applyNumberFormat="1" applyFont="1" applyFill="1" applyBorder="1" applyAlignment="1">
      <alignment vertical="center"/>
    </xf>
    <xf numFmtId="4" fontId="3" fillId="0" borderId="2" xfId="0" applyNumberFormat="1" applyFont="1" applyFill="1" applyBorder="1" applyAlignment="1">
      <alignment vertical="center"/>
    </xf>
    <xf numFmtId="4" fontId="3" fillId="0" borderId="6" xfId="0" applyNumberFormat="1" applyFont="1" applyFill="1" applyBorder="1" applyAlignment="1">
      <alignment vertical="center"/>
    </xf>
    <xf numFmtId="165" fontId="7" fillId="0" borderId="0" xfId="0" applyNumberFormat="1" applyFont="1" applyFill="1" applyAlignment="1" applyProtection="1">
      <alignment horizontal="left" vertical="center"/>
    </xf>
    <xf numFmtId="165" fontId="3" fillId="0" borderId="0" xfId="0" quotePrefix="1" applyNumberFormat="1" applyFont="1" applyFill="1" applyAlignment="1" applyProtection="1">
      <alignment horizontal="center" vertical="center"/>
    </xf>
    <xf numFmtId="165" fontId="7" fillId="7" borderId="20" xfId="0" applyNumberFormat="1" applyFont="1" applyFill="1" applyBorder="1" applyAlignment="1" applyProtection="1">
      <alignment horizontal="center" vertical="center"/>
    </xf>
    <xf numFmtId="0" fontId="7" fillId="7" borderId="21" xfId="0" applyFont="1" applyFill="1" applyBorder="1" applyAlignment="1">
      <alignment horizontal="center" vertical="center"/>
    </xf>
    <xf numFmtId="165" fontId="7" fillId="0" borderId="18" xfId="0" applyNumberFormat="1" applyFont="1" applyFill="1" applyBorder="1" applyAlignment="1" applyProtection="1">
      <alignment horizontal="left" vertical="center"/>
    </xf>
    <xf numFmtId="165" fontId="3" fillId="0" borderId="7" xfId="0" applyNumberFormat="1" applyFont="1" applyFill="1" applyBorder="1" applyAlignment="1" applyProtection="1">
      <alignment horizontal="left" vertical="center"/>
    </xf>
    <xf numFmtId="165" fontId="3" fillId="0" borderId="11" xfId="0" applyNumberFormat="1" applyFont="1" applyFill="1" applyBorder="1" applyAlignment="1" applyProtection="1">
      <alignment horizontal="left" vertical="center"/>
    </xf>
    <xf numFmtId="165" fontId="3" fillId="0" borderId="22" xfId="0" applyNumberFormat="1" applyFont="1" applyFill="1" applyBorder="1" applyAlignment="1" applyProtection="1">
      <alignment horizontal="left" vertical="center"/>
    </xf>
    <xf numFmtId="165" fontId="3" fillId="0" borderId="23" xfId="0" applyNumberFormat="1" applyFont="1" applyFill="1" applyBorder="1" applyAlignment="1" applyProtection="1">
      <alignment horizontal="left" vertical="center"/>
    </xf>
    <xf numFmtId="165" fontId="3" fillId="0" borderId="4" xfId="0" applyNumberFormat="1" applyFont="1" applyFill="1" applyBorder="1" applyAlignment="1" applyProtection="1">
      <alignment horizontal="left" vertical="center"/>
    </xf>
    <xf numFmtId="165" fontId="3" fillId="0" borderId="15" xfId="0" applyNumberFormat="1" applyFont="1" applyFill="1" applyBorder="1" applyAlignment="1" applyProtection="1">
      <alignment horizontal="left" vertical="center"/>
    </xf>
    <xf numFmtId="4" fontId="7" fillId="7" borderId="21" xfId="0" applyNumberFormat="1" applyFont="1" applyFill="1" applyBorder="1" applyAlignment="1">
      <alignment vertical="center"/>
    </xf>
    <xf numFmtId="39" fontId="7" fillId="0" borderId="0" xfId="0" applyNumberFormat="1" applyFont="1" applyFill="1" applyBorder="1" applyAlignment="1" applyProtection="1">
      <alignment horizontal="center" vertical="center"/>
    </xf>
    <xf numFmtId="4" fontId="7" fillId="4" borderId="0" xfId="0" applyNumberFormat="1" applyFont="1" applyFill="1" applyBorder="1" applyAlignment="1" applyProtection="1">
      <alignment horizontal="right" vertical="center"/>
    </xf>
    <xf numFmtId="4" fontId="7" fillId="4" borderId="0" xfId="0" applyNumberFormat="1" applyFont="1" applyFill="1" applyBorder="1" applyAlignment="1" applyProtection="1">
      <alignment vertical="center"/>
    </xf>
    <xf numFmtId="0" fontId="11" fillId="0" borderId="0" xfId="0" applyFont="1" applyFill="1" applyAlignment="1">
      <alignment horizontal="left" vertical="center"/>
    </xf>
    <xf numFmtId="4" fontId="3" fillId="4" borderId="0" xfId="0" applyNumberFormat="1" applyFont="1" applyFill="1" applyAlignment="1" applyProtection="1">
      <alignment vertical="center"/>
    </xf>
    <xf numFmtId="4" fontId="7" fillId="4" borderId="0" xfId="0" applyNumberFormat="1" applyFont="1" applyFill="1" applyAlignment="1" applyProtection="1">
      <alignment horizontal="right" vertical="center"/>
    </xf>
    <xf numFmtId="165" fontId="15" fillId="9" borderId="31" xfId="0" applyNumberFormat="1" applyFont="1" applyFill="1" applyBorder="1" applyAlignment="1" applyProtection="1">
      <alignment horizontal="center" vertical="center"/>
    </xf>
    <xf numFmtId="165" fontId="15" fillId="9" borderId="26" xfId="0" applyNumberFormat="1" applyFont="1" applyFill="1" applyBorder="1" applyAlignment="1" applyProtection="1">
      <alignment horizontal="center" vertical="center"/>
    </xf>
    <xf numFmtId="39" fontId="12" fillId="2" borderId="22" xfId="5" applyNumberFormat="1" applyFont="1" applyFill="1" applyBorder="1" applyAlignment="1" applyProtection="1">
      <alignment vertical="center"/>
    </xf>
    <xf numFmtId="0" fontId="12" fillId="2" borderId="8" xfId="5" applyFont="1" applyFill="1" applyBorder="1"/>
    <xf numFmtId="39" fontId="12" fillId="2" borderId="23" xfId="5" applyNumberFormat="1" applyFont="1" applyFill="1" applyBorder="1" applyAlignment="1" applyProtection="1">
      <alignment vertical="center"/>
    </xf>
    <xf numFmtId="4" fontId="7" fillId="0" borderId="22" xfId="0" applyNumberFormat="1" applyFont="1" applyFill="1" applyBorder="1" applyAlignment="1" applyProtection="1">
      <alignment horizontal="center" vertical="center"/>
    </xf>
    <xf numFmtId="165" fontId="7" fillId="0" borderId="0" xfId="0" quotePrefix="1" applyNumberFormat="1" applyFont="1" applyFill="1" applyBorder="1" applyAlignment="1" applyProtection="1">
      <alignment horizontal="center" vertical="center"/>
    </xf>
    <xf numFmtId="165" fontId="3" fillId="0" borderId="0" xfId="0" applyNumberFormat="1" applyFont="1" applyFill="1" applyBorder="1" applyAlignment="1" applyProtection="1">
      <alignment horizontal="center" vertical="center"/>
    </xf>
    <xf numFmtId="2" fontId="2" fillId="0" borderId="0" xfId="0" applyNumberFormat="1" applyFont="1" applyAlignment="1">
      <alignment vertical="center"/>
    </xf>
    <xf numFmtId="4" fontId="5" fillId="9" borderId="32" xfId="0" applyNumberFormat="1" applyFont="1" applyFill="1" applyBorder="1" applyAlignment="1">
      <alignment horizontal="center" vertical="center" wrapText="1"/>
    </xf>
    <xf numFmtId="4" fontId="9" fillId="0" borderId="22" xfId="0" applyNumberFormat="1" applyFont="1" applyFill="1" applyBorder="1" applyAlignment="1">
      <alignment vertical="center"/>
    </xf>
    <xf numFmtId="4" fontId="10" fillId="3" borderId="33" xfId="0" applyNumberFormat="1" applyFont="1" applyFill="1" applyBorder="1" applyAlignment="1" applyProtection="1">
      <alignment vertical="center"/>
    </xf>
    <xf numFmtId="9" fontId="2" fillId="0" borderId="0" xfId="12" applyFont="1" applyAlignment="1">
      <alignment vertical="center"/>
    </xf>
    <xf numFmtId="4" fontId="6" fillId="2" borderId="0" xfId="0" applyNumberFormat="1" applyFont="1" applyFill="1" applyAlignment="1">
      <alignment vertical="center"/>
    </xf>
    <xf numFmtId="4" fontId="3" fillId="2" borderId="0" xfId="0" applyNumberFormat="1" applyFont="1" applyFill="1" applyAlignment="1">
      <alignment vertical="center"/>
    </xf>
    <xf numFmtId="4" fontId="7" fillId="0" borderId="3" xfId="0" applyNumberFormat="1" applyFont="1" applyFill="1" applyBorder="1" applyAlignment="1" applyProtection="1">
      <alignment vertical="center"/>
    </xf>
    <xf numFmtId="0" fontId="0" fillId="0" borderId="0" xfId="0" applyBorder="1"/>
    <xf numFmtId="165" fontId="32" fillId="0" borderId="0" xfId="0" applyNumberFormat="1" applyFont="1" applyFill="1" applyBorder="1" applyAlignment="1" applyProtection="1">
      <alignment horizontal="center" vertical="center"/>
    </xf>
    <xf numFmtId="165" fontId="25" fillId="0" borderId="0" xfId="0" applyNumberFormat="1" applyFont="1" applyFill="1" applyBorder="1" applyAlignment="1" applyProtection="1">
      <alignment horizontal="center" vertical="center"/>
    </xf>
    <xf numFmtId="4" fontId="7" fillId="5" borderId="0" xfId="0" applyNumberFormat="1" applyFont="1" applyFill="1" applyBorder="1" applyAlignment="1" applyProtection="1">
      <alignment horizontal="center" vertical="center"/>
    </xf>
    <xf numFmtId="0" fontId="3" fillId="5" borderId="0" xfId="0" applyFont="1" applyFill="1" applyAlignment="1">
      <alignment vertical="center"/>
    </xf>
    <xf numFmtId="165" fontId="23" fillId="0" borderId="0" xfId="0" applyNumberFormat="1" applyFont="1" applyFill="1" applyBorder="1" applyAlignment="1" applyProtection="1">
      <alignment horizontal="center" vertical="center"/>
    </xf>
    <xf numFmtId="10" fontId="10" fillId="3" borderId="34" xfId="12" applyNumberFormat="1" applyFont="1" applyFill="1" applyBorder="1" applyAlignment="1" applyProtection="1">
      <alignment vertical="center"/>
    </xf>
    <xf numFmtId="10" fontId="10" fillId="3" borderId="35" xfId="12" applyNumberFormat="1" applyFont="1" applyFill="1" applyBorder="1" applyAlignment="1" applyProtection="1">
      <alignment vertical="center"/>
    </xf>
    <xf numFmtId="165" fontId="4" fillId="3" borderId="12" xfId="0" applyNumberFormat="1" applyFont="1" applyFill="1" applyBorder="1" applyAlignment="1" applyProtection="1">
      <alignment horizontal="center" vertical="center"/>
    </xf>
    <xf numFmtId="4" fontId="2" fillId="0" borderId="0" xfId="0" applyNumberFormat="1" applyFont="1" applyAlignment="1">
      <alignment vertical="center"/>
    </xf>
    <xf numFmtId="0" fontId="3" fillId="0" borderId="15" xfId="0" applyFont="1" applyFill="1" applyBorder="1" applyAlignment="1">
      <alignment vertical="center"/>
    </xf>
    <xf numFmtId="169" fontId="31" fillId="0" borderId="0" xfId="0" applyNumberFormat="1" applyFont="1" applyBorder="1" applyAlignment="1">
      <alignment horizontal="right" vertical="center"/>
    </xf>
    <xf numFmtId="0" fontId="3" fillId="0" borderId="0" xfId="0" applyFont="1" applyFill="1" applyBorder="1" applyAlignment="1" applyProtection="1">
      <alignment horizontal="left" vertical="center"/>
    </xf>
    <xf numFmtId="0" fontId="3" fillId="0" borderId="0" xfId="0" applyFont="1" applyFill="1" applyBorder="1" applyAlignment="1">
      <alignment horizontal="center" vertical="center"/>
    </xf>
    <xf numFmtId="4" fontId="3" fillId="10" borderId="0" xfId="0" applyNumberFormat="1" applyFont="1" applyFill="1" applyBorder="1" applyAlignment="1" applyProtection="1">
      <alignment vertical="center"/>
    </xf>
    <xf numFmtId="0" fontId="3" fillId="10" borderId="0" xfId="0" applyFont="1" applyFill="1" applyBorder="1" applyAlignment="1">
      <alignment vertical="center"/>
    </xf>
    <xf numFmtId="4" fontId="7" fillId="10" borderId="0" xfId="0" applyNumberFormat="1" applyFont="1" applyFill="1" applyBorder="1" applyAlignment="1" applyProtection="1">
      <alignment horizontal="right" vertical="center"/>
    </xf>
    <xf numFmtId="4" fontId="7" fillId="10" borderId="0" xfId="0" applyNumberFormat="1" applyFont="1" applyFill="1" applyBorder="1" applyAlignment="1" applyProtection="1">
      <alignment vertical="center"/>
    </xf>
    <xf numFmtId="0" fontId="3" fillId="10" borderId="0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3" fillId="0" borderId="0" xfId="0" applyNumberFormat="1" applyFont="1" applyFill="1" applyBorder="1" applyAlignment="1" applyProtection="1">
      <alignment horizontal="center"/>
    </xf>
    <xf numFmtId="169" fontId="11" fillId="0" borderId="3" xfId="2" applyNumberFormat="1" applyFont="1" applyBorder="1" applyAlignment="1">
      <alignment vertical="center"/>
    </xf>
    <xf numFmtId="43" fontId="3" fillId="0" borderId="3" xfId="2" applyFont="1" applyFill="1" applyBorder="1" applyAlignment="1">
      <alignment horizontal="right" vertical="center"/>
    </xf>
    <xf numFmtId="43" fontId="11" fillId="0" borderId="3" xfId="2" applyFont="1" applyBorder="1" applyAlignment="1">
      <alignment horizontal="center" vertical="center"/>
    </xf>
    <xf numFmtId="43" fontId="7" fillId="0" borderId="3" xfId="2" applyFont="1" applyFill="1" applyBorder="1" applyAlignment="1">
      <alignment horizontal="right" vertical="center"/>
    </xf>
    <xf numFmtId="0" fontId="3" fillId="0" borderId="3" xfId="0" applyFont="1" applyFill="1" applyBorder="1" applyAlignment="1">
      <alignment horizontal="center" vertical="center"/>
    </xf>
    <xf numFmtId="0" fontId="11" fillId="0" borderId="0" xfId="0" applyFont="1" applyFill="1" applyAlignment="1">
      <alignment horizontal="center" vertical="center"/>
    </xf>
    <xf numFmtId="43" fontId="3" fillId="0" borderId="0" xfId="2" applyFont="1" applyFill="1" applyBorder="1" applyAlignment="1">
      <alignment horizontal="right" vertical="center"/>
    </xf>
    <xf numFmtId="4" fontId="3" fillId="0" borderId="3" xfId="2" applyNumberFormat="1" applyFont="1" applyFill="1" applyBorder="1" applyAlignment="1">
      <alignment horizontal="right" vertical="center"/>
    </xf>
    <xf numFmtId="4" fontId="3" fillId="0" borderId="15" xfId="0" applyNumberFormat="1" applyFont="1" applyFill="1" applyBorder="1" applyAlignment="1" applyProtection="1">
      <alignment vertical="center"/>
    </xf>
    <xf numFmtId="4" fontId="7" fillId="0" borderId="15" xfId="0" applyNumberFormat="1" applyFont="1" applyFill="1" applyBorder="1" applyAlignment="1" applyProtection="1">
      <alignment horizontal="center" vertical="center"/>
    </xf>
    <xf numFmtId="0" fontId="38" fillId="0" borderId="0" xfId="0" applyFont="1" applyBorder="1"/>
    <xf numFmtId="0" fontId="38" fillId="0" borderId="0" xfId="0" applyFont="1"/>
    <xf numFmtId="0" fontId="39" fillId="0" borderId="0" xfId="0" applyFont="1" applyBorder="1" applyAlignment="1"/>
    <xf numFmtId="0" fontId="39" fillId="0" borderId="0" xfId="0" applyFont="1" applyAlignment="1"/>
    <xf numFmtId="0" fontId="56" fillId="0" borderId="36" xfId="0" applyFont="1" applyBorder="1"/>
    <xf numFmtId="0" fontId="56" fillId="0" borderId="0" xfId="0" applyFont="1" applyBorder="1"/>
    <xf numFmtId="0" fontId="56" fillId="0" borderId="37" xfId="0" applyFont="1" applyBorder="1"/>
    <xf numFmtId="0" fontId="40" fillId="0" borderId="0" xfId="0" applyFont="1" applyFill="1" applyBorder="1"/>
    <xf numFmtId="0" fontId="57" fillId="0" borderId="0" xfId="0" applyFont="1" applyFill="1" applyBorder="1"/>
    <xf numFmtId="0" fontId="58" fillId="0" borderId="37" xfId="0" applyFont="1" applyBorder="1"/>
    <xf numFmtId="0" fontId="40" fillId="11" borderId="0" xfId="0" applyFont="1" applyFill="1" applyBorder="1"/>
    <xf numFmtId="0" fontId="57" fillId="11" borderId="0" xfId="0" applyFont="1" applyFill="1" applyBorder="1"/>
    <xf numFmtId="0" fontId="59" fillId="0" borderId="0" xfId="0" applyFont="1" applyFill="1" applyBorder="1"/>
    <xf numFmtId="0" fontId="57" fillId="0" borderId="0" xfId="0" applyFont="1" applyBorder="1"/>
    <xf numFmtId="0" fontId="60" fillId="0" borderId="0" xfId="0" applyFont="1" applyBorder="1"/>
    <xf numFmtId="4" fontId="60" fillId="11" borderId="37" xfId="0" applyNumberFormat="1" applyFont="1" applyFill="1" applyBorder="1" applyAlignment="1">
      <alignment horizontal="center"/>
    </xf>
    <xf numFmtId="0" fontId="43" fillId="0" borderId="0" xfId="0" applyFont="1"/>
    <xf numFmtId="0" fontId="59" fillId="0" borderId="0" xfId="0" applyFont="1" applyBorder="1"/>
    <xf numFmtId="0" fontId="61" fillId="0" borderId="0" xfId="0" applyFont="1" applyBorder="1" applyAlignment="1">
      <alignment horizontal="center"/>
    </xf>
    <xf numFmtId="171" fontId="60" fillId="12" borderId="37" xfId="0" applyNumberFormat="1" applyFont="1" applyFill="1" applyBorder="1" applyAlignment="1"/>
    <xf numFmtId="4" fontId="44" fillId="0" borderId="0" xfId="0" applyNumberFormat="1" applyFont="1"/>
    <xf numFmtId="4" fontId="45" fillId="0" borderId="0" xfId="0" applyNumberFormat="1" applyFont="1"/>
    <xf numFmtId="0" fontId="47" fillId="0" borderId="0" xfId="0" applyFont="1" applyBorder="1" applyAlignment="1"/>
    <xf numFmtId="4" fontId="7" fillId="0" borderId="0" xfId="0" applyNumberFormat="1" applyFont="1"/>
    <xf numFmtId="0" fontId="61" fillId="0" borderId="0" xfId="0" applyFont="1" applyBorder="1" applyAlignment="1">
      <alignment horizontal="left"/>
    </xf>
    <xf numFmtId="0" fontId="61" fillId="0" borderId="37" xfId="0" applyFont="1" applyBorder="1" applyAlignment="1">
      <alignment horizontal="center"/>
    </xf>
    <xf numFmtId="0" fontId="48" fillId="0" borderId="0" xfId="0" applyFont="1" applyBorder="1" applyAlignment="1"/>
    <xf numFmtId="2" fontId="57" fillId="0" borderId="0" xfId="0" applyNumberFormat="1" applyFont="1" applyBorder="1" applyAlignment="1">
      <alignment horizontal="center"/>
    </xf>
    <xf numFmtId="0" fontId="62" fillId="0" borderId="0" xfId="0" applyFont="1" applyBorder="1"/>
    <xf numFmtId="0" fontId="60" fillId="0" borderId="0" xfId="0" applyFont="1" applyBorder="1" applyAlignment="1">
      <alignment horizontal="center"/>
    </xf>
    <xf numFmtId="4" fontId="56" fillId="0" borderId="37" xfId="0" applyNumberFormat="1" applyFont="1" applyBorder="1"/>
    <xf numFmtId="0" fontId="49" fillId="0" borderId="0" xfId="0" applyFont="1" applyBorder="1"/>
    <xf numFmtId="2" fontId="59" fillId="0" borderId="0" xfId="0" applyNumberFormat="1" applyFont="1" applyBorder="1" applyAlignment="1">
      <alignment horizontal="left"/>
    </xf>
    <xf numFmtId="10" fontId="63" fillId="0" borderId="0" xfId="0" applyNumberFormat="1" applyFont="1" applyBorder="1"/>
    <xf numFmtId="171" fontId="60" fillId="11" borderId="37" xfId="0" applyNumberFormat="1" applyFont="1" applyFill="1" applyBorder="1" applyAlignment="1">
      <alignment horizontal="center"/>
    </xf>
    <xf numFmtId="2" fontId="50" fillId="0" borderId="0" xfId="0" applyNumberFormat="1" applyFont="1"/>
    <xf numFmtId="0" fontId="56" fillId="0" borderId="0" xfId="0" applyFont="1" applyBorder="1" applyAlignment="1">
      <alignment horizontal="left"/>
    </xf>
    <xf numFmtId="0" fontId="56" fillId="11" borderId="0" xfId="0" applyFont="1" applyFill="1" applyBorder="1"/>
    <xf numFmtId="10" fontId="60" fillId="11" borderId="0" xfId="0" applyNumberFormat="1" applyFont="1" applyFill="1" applyBorder="1"/>
    <xf numFmtId="0" fontId="60" fillId="0" borderId="0" xfId="0" applyFont="1" applyBorder="1" applyAlignment="1">
      <alignment horizontal="left"/>
    </xf>
    <xf numFmtId="171" fontId="56" fillId="11" borderId="37" xfId="0" applyNumberFormat="1" applyFont="1" applyFill="1" applyBorder="1" applyAlignment="1">
      <alignment horizontal="center"/>
    </xf>
    <xf numFmtId="0" fontId="51" fillId="0" borderId="0" xfId="0" applyFont="1" applyBorder="1"/>
    <xf numFmtId="0" fontId="52" fillId="0" borderId="0" xfId="0" applyFont="1"/>
    <xf numFmtId="4" fontId="0" fillId="0" borderId="0" xfId="0" applyNumberFormat="1"/>
    <xf numFmtId="0" fontId="63" fillId="11" borderId="0" xfId="0" applyFont="1" applyFill="1" applyBorder="1"/>
    <xf numFmtId="10" fontId="60" fillId="0" borderId="0" xfId="0" applyNumberFormat="1" applyFont="1" applyBorder="1"/>
    <xf numFmtId="4" fontId="52" fillId="0" borderId="0" xfId="0" applyNumberFormat="1" applyFont="1"/>
    <xf numFmtId="0" fontId="64" fillId="0" borderId="0" xfId="0" applyFont="1" applyFill="1" applyBorder="1"/>
    <xf numFmtId="0" fontId="65" fillId="0" borderId="0" xfId="0" applyFont="1" applyFill="1" applyBorder="1" applyAlignment="1">
      <alignment horizontal="center"/>
    </xf>
    <xf numFmtId="4" fontId="64" fillId="0" borderId="37" xfId="0" applyNumberFormat="1" applyFont="1" applyFill="1" applyBorder="1"/>
    <xf numFmtId="0" fontId="53" fillId="0" borderId="0" xfId="0" applyFont="1"/>
    <xf numFmtId="0" fontId="66" fillId="0" borderId="0" xfId="0" applyFont="1" applyFill="1" applyBorder="1"/>
    <xf numFmtId="0" fontId="67" fillId="13" borderId="0" xfId="0" applyFont="1" applyFill="1" applyBorder="1"/>
    <xf numFmtId="0" fontId="68" fillId="13" borderId="0" xfId="0" applyFont="1" applyFill="1" applyBorder="1" applyAlignment="1">
      <alignment horizontal="center"/>
    </xf>
    <xf numFmtId="171" fontId="67" fillId="13" borderId="37" xfId="0" applyNumberFormat="1" applyFont="1" applyFill="1" applyBorder="1" applyAlignment="1">
      <alignment horizontal="center"/>
    </xf>
    <xf numFmtId="0" fontId="56" fillId="0" borderId="37" xfId="0" applyFont="1" applyBorder="1" applyAlignment="1">
      <alignment horizontal="right"/>
    </xf>
    <xf numFmtId="171" fontId="56" fillId="11" borderId="38" xfId="0" applyNumberFormat="1" applyFont="1" applyFill="1" applyBorder="1" applyAlignment="1">
      <alignment horizontal="center"/>
    </xf>
    <xf numFmtId="0" fontId="67" fillId="0" borderId="0" xfId="0" applyFont="1" applyFill="1" applyBorder="1"/>
    <xf numFmtId="0" fontId="68" fillId="0" borderId="0" xfId="0" applyFont="1" applyFill="1" applyBorder="1" applyAlignment="1">
      <alignment horizontal="center"/>
    </xf>
    <xf numFmtId="171" fontId="67" fillId="11" borderId="37" xfId="0" applyNumberFormat="1" applyFont="1" applyFill="1" applyBorder="1" applyAlignment="1">
      <alignment horizontal="center"/>
    </xf>
    <xf numFmtId="171" fontId="69" fillId="11" borderId="37" xfId="0" applyNumberFormat="1" applyFont="1" applyFill="1" applyBorder="1" applyAlignment="1">
      <alignment horizontal="center"/>
    </xf>
    <xf numFmtId="10" fontId="0" fillId="0" borderId="0" xfId="0" applyNumberFormat="1"/>
    <xf numFmtId="0" fontId="56" fillId="0" borderId="39" xfId="0" applyFont="1" applyBorder="1"/>
    <xf numFmtId="0" fontId="56" fillId="0" borderId="25" xfId="0" applyFont="1" applyBorder="1"/>
    <xf numFmtId="0" fontId="56" fillId="0" borderId="40" xfId="0" applyFont="1" applyBorder="1" applyAlignment="1">
      <alignment horizontal="left"/>
    </xf>
    <xf numFmtId="0" fontId="56" fillId="0" borderId="0" xfId="0" applyFont="1"/>
    <xf numFmtId="0" fontId="60" fillId="0" borderId="0" xfId="0" applyFont="1"/>
    <xf numFmtId="4" fontId="0" fillId="2" borderId="3" xfId="0" applyNumberFormat="1" applyFill="1" applyBorder="1" applyAlignment="1" applyProtection="1">
      <alignment vertical="top"/>
      <protection locked="0"/>
    </xf>
    <xf numFmtId="0" fontId="0" fillId="0" borderId="3" xfId="0" applyBorder="1" applyAlignment="1">
      <alignment vertical="center"/>
    </xf>
    <xf numFmtId="165" fontId="23" fillId="0" borderId="0" xfId="0" applyNumberFormat="1" applyFont="1" applyFill="1" applyBorder="1" applyAlignment="1" applyProtection="1">
      <alignment horizontal="center" vertical="center"/>
    </xf>
    <xf numFmtId="4" fontId="15" fillId="0" borderId="3" xfId="0" applyNumberFormat="1" applyFont="1" applyFill="1" applyBorder="1" applyAlignment="1" applyProtection="1">
      <alignment horizontal="center" vertical="center"/>
    </xf>
    <xf numFmtId="4" fontId="17" fillId="0" borderId="0" xfId="0" applyNumberFormat="1" applyFont="1" applyFill="1" applyBorder="1" applyAlignment="1" applyProtection="1">
      <alignment horizontal="center" vertical="center"/>
    </xf>
    <xf numFmtId="171" fontId="56" fillId="11" borderId="40" xfId="0" applyNumberFormat="1" applyFont="1" applyFill="1" applyBorder="1" applyAlignment="1">
      <alignment horizontal="center"/>
    </xf>
    <xf numFmtId="172" fontId="0" fillId="0" borderId="0" xfId="0" applyNumberFormat="1"/>
    <xf numFmtId="0" fontId="0" fillId="0" borderId="0" xfId="0" applyBorder="1"/>
    <xf numFmtId="165" fontId="1" fillId="0" borderId="0" xfId="0" applyNumberFormat="1" applyFont="1" applyFill="1" applyAlignment="1" applyProtection="1">
      <alignment horizontal="left" vertical="center"/>
    </xf>
    <xf numFmtId="0" fontId="71" fillId="11" borderId="46" xfId="0" applyFont="1" applyFill="1" applyBorder="1" applyAlignment="1">
      <alignment horizontal="center" vertical="center" wrapText="1"/>
    </xf>
    <xf numFmtId="0" fontId="71" fillId="11" borderId="47" xfId="0" applyFont="1" applyFill="1" applyBorder="1" applyAlignment="1">
      <alignment horizontal="center" vertical="center" wrapText="1"/>
    </xf>
    <xf numFmtId="0" fontId="71" fillId="11" borderId="48" xfId="0" applyFont="1" applyFill="1" applyBorder="1" applyAlignment="1">
      <alignment horizontal="center" vertical="center" wrapText="1"/>
    </xf>
    <xf numFmtId="0" fontId="46" fillId="0" borderId="0" xfId="0" applyFont="1" applyFill="1" applyBorder="1" applyAlignment="1">
      <alignment horizontal="center"/>
    </xf>
    <xf numFmtId="0" fontId="46" fillId="0" borderId="37" xfId="0" applyFont="1" applyFill="1" applyBorder="1" applyAlignment="1">
      <alignment horizontal="center"/>
    </xf>
    <xf numFmtId="0" fontId="54" fillId="0" borderId="46" xfId="0" applyFont="1" applyBorder="1" applyAlignment="1">
      <alignment horizontal="center" vertical="center" wrapText="1"/>
    </xf>
    <xf numFmtId="0" fontId="54" fillId="0" borderId="47" xfId="0" applyFont="1" applyBorder="1" applyAlignment="1">
      <alignment horizontal="center" vertical="center" wrapText="1"/>
    </xf>
    <xf numFmtId="0" fontId="54" fillId="0" borderId="48" xfId="0" applyFont="1" applyBorder="1" applyAlignment="1">
      <alignment horizontal="center" vertical="center" wrapText="1"/>
    </xf>
    <xf numFmtId="0" fontId="54" fillId="0" borderId="36" xfId="0" applyFont="1" applyBorder="1" applyAlignment="1">
      <alignment horizontal="center" vertical="center" wrapText="1"/>
    </xf>
    <xf numFmtId="0" fontId="54" fillId="0" borderId="0" xfId="0" applyFont="1" applyBorder="1" applyAlignment="1">
      <alignment horizontal="center" vertical="center" wrapText="1"/>
    </xf>
    <xf numFmtId="0" fontId="54" fillId="0" borderId="37" xfId="0" applyFont="1" applyBorder="1" applyAlignment="1">
      <alignment horizontal="center" vertical="center" wrapText="1"/>
    </xf>
    <xf numFmtId="0" fontId="54" fillId="0" borderId="39" xfId="0" applyFont="1" applyBorder="1" applyAlignment="1">
      <alignment horizontal="center" vertical="center" wrapText="1"/>
    </xf>
    <xf numFmtId="0" fontId="54" fillId="0" borderId="25" xfId="0" applyFont="1" applyBorder="1" applyAlignment="1">
      <alignment horizontal="center" vertical="center" wrapText="1"/>
    </xf>
    <xf numFmtId="0" fontId="54" fillId="0" borderId="40" xfId="0" applyFont="1" applyBorder="1" applyAlignment="1">
      <alignment horizontal="center" vertical="center" wrapText="1"/>
    </xf>
    <xf numFmtId="0" fontId="70" fillId="11" borderId="0" xfId="0" applyFont="1" applyFill="1" applyBorder="1" applyAlignment="1">
      <alignment horizontal="center" vertical="center" wrapText="1"/>
    </xf>
    <xf numFmtId="0" fontId="56" fillId="11" borderId="0" xfId="0" applyFont="1" applyFill="1" applyBorder="1" applyAlignment="1">
      <alignment horizontal="center" vertical="center"/>
    </xf>
    <xf numFmtId="165" fontId="4" fillId="3" borderId="4" xfId="0" applyNumberFormat="1" applyFont="1" applyFill="1" applyBorder="1" applyAlignment="1" applyProtection="1">
      <alignment horizontal="center" vertical="center"/>
    </xf>
    <xf numFmtId="165" fontId="4" fillId="3" borderId="15" xfId="0" applyNumberFormat="1" applyFont="1" applyFill="1" applyBorder="1" applyAlignment="1" applyProtection="1">
      <alignment horizontal="center" vertical="center"/>
    </xf>
    <xf numFmtId="165" fontId="4" fillId="3" borderId="16" xfId="0" applyNumberFormat="1" applyFont="1" applyFill="1" applyBorder="1" applyAlignment="1" applyProtection="1">
      <alignment horizontal="center" vertical="center"/>
    </xf>
    <xf numFmtId="165" fontId="4" fillId="3" borderId="5" xfId="0" applyNumberFormat="1" applyFont="1" applyFill="1" applyBorder="1" applyAlignment="1" applyProtection="1">
      <alignment horizontal="center" vertical="center"/>
    </xf>
    <xf numFmtId="165" fontId="4" fillId="3" borderId="0" xfId="0" applyNumberFormat="1" applyFont="1" applyFill="1" applyBorder="1" applyAlignment="1" applyProtection="1">
      <alignment horizontal="center" vertical="center"/>
    </xf>
    <xf numFmtId="165" fontId="4" fillId="3" borderId="10" xfId="0" applyNumberFormat="1" applyFont="1" applyFill="1" applyBorder="1" applyAlignment="1" applyProtection="1">
      <alignment horizontal="center" vertical="center"/>
    </xf>
    <xf numFmtId="4" fontId="10" fillId="3" borderId="41" xfId="0" applyNumberFormat="1" applyFont="1" applyFill="1" applyBorder="1" applyAlignment="1" applyProtection="1">
      <alignment horizontal="center" vertical="center"/>
    </xf>
    <xf numFmtId="4" fontId="10" fillId="3" borderId="28" xfId="0" applyNumberFormat="1" applyFont="1" applyFill="1" applyBorder="1" applyAlignment="1" applyProtection="1">
      <alignment horizontal="center" vertical="center"/>
    </xf>
    <xf numFmtId="4" fontId="10" fillId="3" borderId="20" xfId="0" applyNumberFormat="1" applyFont="1" applyFill="1" applyBorder="1" applyAlignment="1" applyProtection="1">
      <alignment horizontal="center" vertical="center"/>
    </xf>
    <xf numFmtId="4" fontId="10" fillId="3" borderId="24" xfId="0" applyNumberFormat="1" applyFont="1" applyFill="1" applyBorder="1" applyAlignment="1" applyProtection="1">
      <alignment horizontal="center" vertical="center"/>
    </xf>
    <xf numFmtId="165" fontId="3" fillId="0" borderId="0" xfId="0" applyNumberFormat="1" applyFont="1" applyFill="1" applyAlignment="1" applyProtection="1">
      <alignment horizontal="left" vertical="center" wrapText="1"/>
    </xf>
    <xf numFmtId="165" fontId="32" fillId="0" borderId="0" xfId="0" applyNumberFormat="1" applyFont="1" applyFill="1" applyBorder="1" applyAlignment="1" applyProtection="1">
      <alignment horizontal="center" vertical="center"/>
    </xf>
    <xf numFmtId="165" fontId="8" fillId="0" borderId="0" xfId="0" applyNumberFormat="1" applyFont="1" applyFill="1" applyBorder="1" applyAlignment="1" applyProtection="1">
      <alignment horizontal="center" vertical="center" wrapText="1"/>
    </xf>
    <xf numFmtId="4" fontId="7" fillId="0" borderId="22" xfId="0" applyNumberFormat="1" applyFont="1" applyFill="1" applyBorder="1" applyAlignment="1" applyProtection="1">
      <alignment horizontal="center" vertical="center"/>
    </xf>
    <xf numFmtId="0" fontId="0" fillId="0" borderId="23" xfId="0" applyBorder="1"/>
    <xf numFmtId="0" fontId="0" fillId="0" borderId="8" xfId="0" applyBorder="1"/>
    <xf numFmtId="4" fontId="7" fillId="10" borderId="0" xfId="0" applyNumberFormat="1" applyFont="1" applyFill="1" applyBorder="1" applyAlignment="1" applyProtection="1">
      <alignment horizontal="center" vertical="center"/>
    </xf>
    <xf numFmtId="4" fontId="7" fillId="0" borderId="22" xfId="0" applyNumberFormat="1" applyFont="1" applyFill="1" applyBorder="1" applyAlignment="1">
      <alignment horizontal="center" vertical="center"/>
    </xf>
    <xf numFmtId="4" fontId="7" fillId="0" borderId="23" xfId="0" applyNumberFormat="1" applyFont="1" applyFill="1" applyBorder="1" applyAlignment="1">
      <alignment horizontal="center" vertical="center"/>
    </xf>
    <xf numFmtId="4" fontId="7" fillId="0" borderId="8" xfId="0" applyNumberFormat="1" applyFont="1" applyFill="1" applyBorder="1" applyAlignment="1">
      <alignment horizontal="center" vertical="center"/>
    </xf>
    <xf numFmtId="165" fontId="7" fillId="7" borderId="34" xfId="0" applyNumberFormat="1" applyFont="1" applyFill="1" applyBorder="1" applyAlignment="1" applyProtection="1">
      <alignment horizontal="center" vertical="center"/>
    </xf>
    <xf numFmtId="0" fontId="0" fillId="0" borderId="42" xfId="0" applyBorder="1"/>
    <xf numFmtId="0" fontId="0" fillId="0" borderId="35" xfId="0" applyBorder="1"/>
    <xf numFmtId="4" fontId="7" fillId="0" borderId="0" xfId="0" applyNumberFormat="1" applyFont="1" applyFill="1" applyBorder="1" applyAlignment="1" applyProtection="1">
      <alignment horizontal="center" vertical="center"/>
    </xf>
    <xf numFmtId="0" fontId="0" fillId="0" borderId="0" xfId="0" applyBorder="1"/>
    <xf numFmtId="165" fontId="34" fillId="0" borderId="0" xfId="0" applyNumberFormat="1" applyFont="1" applyFill="1" applyBorder="1" applyAlignment="1" applyProtection="1">
      <alignment horizontal="center" vertical="center"/>
    </xf>
    <xf numFmtId="0" fontId="35" fillId="0" borderId="0" xfId="0" applyFont="1"/>
    <xf numFmtId="165" fontId="7" fillId="7" borderId="43" xfId="0" applyNumberFormat="1" applyFont="1" applyFill="1" applyBorder="1" applyAlignment="1" applyProtection="1">
      <alignment horizontal="center" vertical="center"/>
    </xf>
    <xf numFmtId="165" fontId="23" fillId="0" borderId="0" xfId="0" applyNumberFormat="1" applyFont="1" applyFill="1" applyBorder="1" applyAlignment="1" applyProtection="1">
      <alignment horizontal="center" vertical="center"/>
    </xf>
    <xf numFmtId="165" fontId="23" fillId="0" borderId="0" xfId="0" quotePrefix="1" applyNumberFormat="1" applyFont="1" applyFill="1" applyBorder="1" applyAlignment="1" applyProtection="1">
      <alignment horizontal="center" vertical="center"/>
    </xf>
    <xf numFmtId="165" fontId="33" fillId="0" borderId="0" xfId="0" applyNumberFormat="1" applyFont="1" applyFill="1" applyBorder="1" applyAlignment="1" applyProtection="1">
      <alignment horizontal="center" vertical="center"/>
    </xf>
    <xf numFmtId="165" fontId="1" fillId="0" borderId="0" xfId="0" applyNumberFormat="1" applyFont="1" applyFill="1" applyAlignment="1" applyProtection="1">
      <alignment horizontal="left" vertical="center" wrapText="1"/>
    </xf>
    <xf numFmtId="4" fontId="15" fillId="0" borderId="3" xfId="0" applyNumberFormat="1" applyFont="1" applyFill="1" applyBorder="1" applyAlignment="1" applyProtection="1">
      <alignment horizontal="center" vertical="center"/>
    </xf>
    <xf numFmtId="165" fontId="15" fillId="7" borderId="24" xfId="5" applyNumberFormat="1" applyFont="1" applyFill="1" applyBorder="1" applyAlignment="1" applyProtection="1">
      <alignment horizontal="center" vertical="center"/>
    </xf>
    <xf numFmtId="39" fontId="15" fillId="2" borderId="44" xfId="5" applyNumberFormat="1" applyFont="1" applyFill="1" applyBorder="1" applyAlignment="1" applyProtection="1">
      <alignment horizontal="center" vertical="center"/>
    </xf>
    <xf numFmtId="39" fontId="15" fillId="2" borderId="45" xfId="5" applyNumberFormat="1" applyFont="1" applyFill="1" applyBorder="1" applyAlignment="1" applyProtection="1">
      <alignment horizontal="center" vertical="center"/>
    </xf>
    <xf numFmtId="4" fontId="15" fillId="0" borderId="3" xfId="0" applyNumberFormat="1" applyFont="1" applyFill="1" applyBorder="1" applyAlignment="1">
      <alignment horizontal="center" vertical="center"/>
    </xf>
    <xf numFmtId="4" fontId="17" fillId="0" borderId="0" xfId="0" applyNumberFormat="1" applyFont="1" applyFill="1" applyBorder="1" applyAlignment="1" applyProtection="1">
      <alignment horizontal="center" vertical="center"/>
    </xf>
    <xf numFmtId="4" fontId="29" fillId="0" borderId="22" xfId="0" applyNumberFormat="1" applyFont="1" applyFill="1" applyBorder="1" applyAlignment="1" applyProtection="1">
      <alignment horizontal="center" vertical="center"/>
    </xf>
    <xf numFmtId="4" fontId="29" fillId="0" borderId="23" xfId="0" applyNumberFormat="1" applyFont="1" applyFill="1" applyBorder="1" applyAlignment="1" applyProtection="1">
      <alignment horizontal="center" vertical="center"/>
    </xf>
    <xf numFmtId="4" fontId="29" fillId="0" borderId="8" xfId="0" applyNumberFormat="1" applyFont="1" applyFill="1" applyBorder="1" applyAlignment="1" applyProtection="1">
      <alignment horizontal="center" vertical="center"/>
    </xf>
    <xf numFmtId="4" fontId="15" fillId="0" borderId="22" xfId="0" applyNumberFormat="1" applyFont="1" applyFill="1" applyBorder="1" applyAlignment="1" applyProtection="1">
      <alignment horizontal="center" vertical="center"/>
    </xf>
    <xf numFmtId="4" fontId="15" fillId="0" borderId="23" xfId="0" applyNumberFormat="1" applyFont="1" applyFill="1" applyBorder="1" applyAlignment="1" applyProtection="1">
      <alignment horizontal="center" vertical="center"/>
    </xf>
    <xf numFmtId="4" fontId="15" fillId="0" borderId="8" xfId="0" applyNumberFormat="1" applyFont="1" applyFill="1" applyBorder="1" applyAlignment="1" applyProtection="1">
      <alignment horizontal="center" vertical="center"/>
    </xf>
    <xf numFmtId="4" fontId="29" fillId="0" borderId="3" xfId="0" applyNumberFormat="1" applyFont="1" applyFill="1" applyBorder="1" applyAlignment="1">
      <alignment horizontal="center" vertical="center"/>
    </xf>
    <xf numFmtId="0" fontId="17" fillId="0" borderId="0" xfId="0" applyFont="1" applyFill="1" applyAlignment="1">
      <alignment horizontal="center" vertical="center"/>
    </xf>
    <xf numFmtId="4" fontId="12" fillId="0" borderId="3" xfId="0" applyNumberFormat="1" applyFont="1" applyFill="1" applyBorder="1" applyAlignment="1" applyProtection="1">
      <alignment horizontal="center" vertical="center"/>
    </xf>
    <xf numFmtId="165" fontId="23" fillId="0" borderId="0" xfId="0" applyNumberFormat="1" applyFont="1" applyFill="1" applyAlignment="1" applyProtection="1">
      <alignment horizontal="center" vertical="center"/>
    </xf>
    <xf numFmtId="165" fontId="12" fillId="0" borderId="0" xfId="0" applyNumberFormat="1" applyFont="1" applyFill="1" applyAlignment="1" applyProtection="1">
      <alignment horizontal="left" vertical="center" wrapText="1"/>
    </xf>
    <xf numFmtId="165" fontId="25" fillId="0" borderId="0" xfId="0" applyNumberFormat="1" applyFont="1" applyFill="1" applyBorder="1" applyAlignment="1" applyProtection="1">
      <alignment horizontal="center" vertical="center"/>
    </xf>
    <xf numFmtId="165" fontId="25" fillId="0" borderId="0" xfId="0" quotePrefix="1" applyNumberFormat="1" applyFont="1" applyFill="1" applyBorder="1" applyAlignment="1" applyProtection="1">
      <alignment horizontal="center" vertical="center"/>
    </xf>
    <xf numFmtId="165" fontId="33" fillId="0" borderId="0" xfId="0" applyNumberFormat="1" applyFont="1" applyFill="1" applyAlignment="1" applyProtection="1">
      <alignment horizontal="center" vertical="center"/>
    </xf>
    <xf numFmtId="4" fontId="12" fillId="0" borderId="3" xfId="0" applyNumberFormat="1" applyFont="1" applyFill="1" applyBorder="1" applyAlignment="1">
      <alignment horizontal="center" vertical="center"/>
    </xf>
    <xf numFmtId="4" fontId="15" fillId="0" borderId="22" xfId="0" applyNumberFormat="1" applyFont="1" applyFill="1" applyBorder="1" applyAlignment="1">
      <alignment horizontal="center" vertical="center"/>
    </xf>
    <xf numFmtId="4" fontId="15" fillId="0" borderId="23" xfId="0" applyNumberFormat="1" applyFont="1" applyFill="1" applyBorder="1" applyAlignment="1">
      <alignment horizontal="center" vertical="center"/>
    </xf>
    <xf numFmtId="4" fontId="15" fillId="0" borderId="8" xfId="0" applyNumberFormat="1" applyFont="1" applyFill="1" applyBorder="1" applyAlignment="1">
      <alignment horizontal="center" vertical="center"/>
    </xf>
    <xf numFmtId="4" fontId="12" fillId="0" borderId="1" xfId="0" applyNumberFormat="1" applyFont="1" applyFill="1" applyBorder="1" applyAlignment="1" applyProtection="1">
      <alignment horizontal="center" vertical="center" wrapText="1"/>
    </xf>
    <xf numFmtId="4" fontId="12" fillId="0" borderId="2" xfId="0" applyNumberFormat="1" applyFont="1" applyFill="1" applyBorder="1" applyAlignment="1" applyProtection="1">
      <alignment horizontal="center" vertical="center" wrapText="1"/>
    </xf>
    <xf numFmtId="4" fontId="12" fillId="0" borderId="6" xfId="0" applyNumberFormat="1" applyFont="1" applyFill="1" applyBorder="1" applyAlignment="1" applyProtection="1">
      <alignment horizontal="center" vertical="center" wrapText="1"/>
    </xf>
  </cellXfs>
  <cellStyles count="13">
    <cellStyle name="Millares" xfId="1" builtinId="3"/>
    <cellStyle name="Millares 2" xfId="2"/>
    <cellStyle name="Moneda" xfId="3" builtinId="4"/>
    <cellStyle name="Moneda 2" xfId="4"/>
    <cellStyle name="Normal" xfId="0" builtinId="0"/>
    <cellStyle name="Normal 2" xfId="5"/>
    <cellStyle name="Normal 2 2" xfId="6"/>
    <cellStyle name="Normal 2 3" xfId="7"/>
    <cellStyle name="Normal 3" xfId="8"/>
    <cellStyle name="Normal 4" xfId="9"/>
    <cellStyle name="Normal 5" xfId="10"/>
    <cellStyle name="Porcentaje" xfId="12" builtinId="5"/>
    <cellStyle name="Porcentaje 2" xfId="11"/>
  </cellStyles>
  <dxfs count="4"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wm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309033</xdr:colOff>
      <xdr:row>27</xdr:row>
      <xdr:rowOff>4233</xdr:rowOff>
    </xdr:from>
    <xdr:to>
      <xdr:col>5</xdr:col>
      <xdr:colOff>956733</xdr:colOff>
      <xdr:row>29</xdr:row>
      <xdr:rowOff>81491</xdr:rowOff>
    </xdr:to>
    <xdr:pic>
      <xdr:nvPicPr>
        <xdr:cNvPr id="1030" name="Picture 32" descr="BS00561_">
          <a:extLst>
            <a:ext uri="{FF2B5EF4-FFF2-40B4-BE49-F238E27FC236}">
              <a16:creationId xmlns:a16="http://schemas.microsoft.com/office/drawing/2014/main" xmlns="" id="{00000000-0008-0000-0000-000006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87533" y="7211483"/>
          <a:ext cx="647700" cy="4794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Users\user5\Desktop\EXPEDIENTES%202013\EXPEDIENTE%20TECNICO%20AURORA%20INESTEJADA\14.%20DESAGREGADO%20DE%20GASTOS%20GENERALES\PRESUPUESTO%20ANALITICO%20AURORA%20INES%20TEJADA%20ADM%20DIRECTA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sumen"/>
      <sheetName val="C.Directo"/>
      <sheetName val="C.Indirecto"/>
      <sheetName val="G.General"/>
      <sheetName val="Exp.Téc. "/>
      <sheetName val="Supervision"/>
      <sheetName val="Liquidacion"/>
      <sheetName val="Capacitacion Social"/>
    </sheetNames>
    <sheetDataSet>
      <sheetData sheetId="0">
        <row r="9">
          <cell r="C9" t="str">
            <v>:</v>
          </cell>
        </row>
        <row r="10">
          <cell r="C10" t="str">
            <v>:</v>
          </cell>
        </row>
        <row r="17">
          <cell r="A17" t="str">
            <v>2.6.2.2.2.4</v>
          </cell>
        </row>
        <row r="18">
          <cell r="A18" t="str">
            <v>2.6.2.2.2.5</v>
          </cell>
        </row>
        <row r="19">
          <cell r="A19" t="str">
            <v>2.6.2.2.2.6</v>
          </cell>
        </row>
        <row r="20">
          <cell r="A20" t="str">
            <v>2.6.2.2.2.7</v>
          </cell>
        </row>
      </sheetData>
      <sheetData sheetId="1"/>
      <sheetData sheetId="2"/>
      <sheetData sheetId="3"/>
      <sheetData sheetId="4"/>
      <sheetData sheetId="5"/>
      <sheetData sheetId="6">
        <row r="16">
          <cell r="J16">
            <v>1472942.39</v>
          </cell>
        </row>
      </sheetData>
      <sheetData sheetId="7" refreshError="1"/>
    </sheetDataSet>
  </externalBook>
</externalLink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Mirador">
  <a:themeElements>
    <a:clrScheme name="Mirador">
      <a:dk1>
        <a:sysClr val="windowText" lastClr="000000"/>
      </a:dk1>
      <a:lt1>
        <a:sysClr val="window" lastClr="FFFFFF"/>
      </a:lt1>
      <a:dk2>
        <a:srgbClr val="575F6D"/>
      </a:dk2>
      <a:lt2>
        <a:srgbClr val="FFF39D"/>
      </a:lt2>
      <a:accent1>
        <a:srgbClr val="FE8637"/>
      </a:accent1>
      <a:accent2>
        <a:srgbClr val="7598D9"/>
      </a:accent2>
      <a:accent3>
        <a:srgbClr val="B32C16"/>
      </a:accent3>
      <a:accent4>
        <a:srgbClr val="F5CD2D"/>
      </a:accent4>
      <a:accent5>
        <a:srgbClr val="AEBAD5"/>
      </a:accent5>
      <a:accent6>
        <a:srgbClr val="777C84"/>
      </a:accent6>
      <a:hlink>
        <a:srgbClr val="D2611C"/>
      </a:hlink>
      <a:folHlink>
        <a:srgbClr val="3B435B"/>
      </a:folHlink>
    </a:clrScheme>
    <a:fontScheme name="Mirador">
      <a:majorFont>
        <a:latin typeface="Century Schoolbook"/>
        <a:ea typeface=""/>
        <a:cs typeface=""/>
        <a:font script="Jpan" typeface="ＭＳ Ｐ明朝"/>
        <a:font script="Hang" typeface="휴먼매직체"/>
        <a:font script="Hans" typeface="华文楷体"/>
        <a:font script="Hant" typeface="新細明體"/>
        <a:font script="Arab" typeface="Times New Roman"/>
        <a:font script="Hebr" typeface="Times New Roman"/>
        <a:font script="Thai" typeface="KodchiangUPC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entury Schoolbook"/>
        <a:ea typeface=""/>
        <a:cs typeface=""/>
        <a:font script="Jpan" typeface="ＭＳ Ｐ明朝"/>
        <a:font script="Hang" typeface="휴먼매직체"/>
        <a:font script="Hans" typeface="宋体"/>
        <a:font script="Hant" typeface="新細明體"/>
        <a:font script="Arab" typeface="Times New Roman"/>
        <a:font script="Hebr" typeface="Times New Roman"/>
        <a:font script="Thai" typeface="KodchiangUPC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inorFont>
    </a:fontScheme>
    <a:fmtScheme name="Mirador">
      <a:fillStyleLst>
        <a:solidFill>
          <a:schemeClr val="phClr"/>
        </a:solidFill>
        <a:gradFill rotWithShape="1">
          <a:gsLst>
            <a:gs pos="0">
              <a:schemeClr val="phClr">
                <a:tint val="35000"/>
                <a:satMod val="260000"/>
              </a:schemeClr>
            </a:gs>
            <a:gs pos="30000">
              <a:schemeClr val="phClr">
                <a:tint val="38000"/>
                <a:satMod val="260000"/>
              </a:schemeClr>
            </a:gs>
            <a:gs pos="75000">
              <a:schemeClr val="phClr">
                <a:tint val="55000"/>
                <a:satMod val="255000"/>
              </a:schemeClr>
            </a:gs>
            <a:gs pos="100000">
              <a:schemeClr val="phClr">
                <a:tint val="70000"/>
                <a:satMod val="255000"/>
              </a:schemeClr>
            </a:gs>
          </a:gsLst>
          <a:path path="circle">
            <a:fillToRect l="5000" t="100000" r="120000" b="10000"/>
          </a:path>
        </a:gradFill>
        <a:gradFill rotWithShape="1">
          <a:gsLst>
            <a:gs pos="0">
              <a:schemeClr val="phClr">
                <a:shade val="63000"/>
                <a:satMod val="165000"/>
              </a:schemeClr>
            </a:gs>
            <a:gs pos="30000">
              <a:schemeClr val="phClr">
                <a:shade val="58000"/>
                <a:satMod val="165000"/>
              </a:schemeClr>
            </a:gs>
            <a:gs pos="75000">
              <a:schemeClr val="phClr">
                <a:shade val="30000"/>
                <a:satMod val="175000"/>
              </a:schemeClr>
            </a:gs>
            <a:gs pos="100000">
              <a:schemeClr val="phClr">
                <a:shade val="15000"/>
                <a:satMod val="175000"/>
              </a:schemeClr>
            </a:gs>
          </a:gsLst>
          <a:path path="circle">
            <a:fillToRect l="5000" t="100000" r="120000" b="10000"/>
          </a:path>
        </a:gradFill>
      </a:fillStyleLst>
      <a:lnStyleLst>
        <a:ln w="12700" cap="flat" cmpd="sng" algn="ctr">
          <a:solidFill>
            <a:schemeClr val="phClr">
              <a:shade val="70000"/>
              <a:satMod val="150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4925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50800" dist="25000" dir="5400000" rotWithShape="0">
              <a:srgbClr val="000000">
                <a:alpha val="40000"/>
              </a:srgbClr>
            </a:outerShdw>
          </a:effectLst>
        </a:effectStyle>
        <a:effectStyle>
          <a:effectLst>
            <a:outerShdw blurRad="50800" dist="20000" dir="5400000" rotWithShape="0">
              <a:srgbClr val="000000">
                <a:alpha val="42000"/>
              </a:srgbClr>
            </a:outerShdw>
          </a:effectLst>
        </a:effectStyle>
        <a:effectStyle>
          <a:effectLst>
            <a:outerShdw blurRad="50800" dist="20000" dir="5400000" rotWithShape="0">
              <a:srgbClr val="000000">
                <a:alpha val="42000"/>
              </a:srgbClr>
            </a:outerShdw>
          </a:effectLst>
          <a:scene3d>
            <a:camera prst="orthographicFront">
              <a:rot lat="0" lon="0" rev="0"/>
            </a:camera>
            <a:lightRig rig="balanced" dir="t">
              <a:rot lat="0" lon="0" rev="0"/>
            </a:lightRig>
          </a:scene3d>
          <a:sp3d>
            <a:bevelT w="47625" h="69850"/>
            <a:contourClr>
              <a:schemeClr val="lt1"/>
            </a:contourClr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58000"/>
                <a:satMod val="125000"/>
              </a:schemeClr>
            </a:gs>
            <a:gs pos="40000">
              <a:schemeClr val="phClr">
                <a:tint val="90000"/>
                <a:shade val="90000"/>
                <a:satMod val="120000"/>
              </a:schemeClr>
            </a:gs>
            <a:gs pos="100000">
              <a:schemeClr val="phClr">
                <a:tint val="50000"/>
              </a:schemeClr>
            </a:gs>
          </a:gsLst>
          <a:lin ang="16200000" scaled="1"/>
        </a:gradFill>
        <a:blipFill>
          <a:blip xmlns:r="http://schemas.openxmlformats.org/officeDocument/2006/relationships" r:embed="rId1">
            <a:duotone>
              <a:schemeClr val="phClr">
                <a:shade val="80000"/>
              </a:schemeClr>
              <a:schemeClr val="phClr">
                <a:tint val="91000"/>
              </a:schemeClr>
            </a:duotone>
          </a:blip>
          <a:tile tx="0" ty="0" sx="40000" sy="50000" flip="y" algn="tl"/>
        </a:blip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J41"/>
  <sheetViews>
    <sheetView tabSelected="1" view="pageBreakPreview" zoomScale="71" zoomScaleNormal="100" zoomScaleSheetLayoutView="71" workbookViewId="0">
      <selection activeCell="G9" sqref="G9"/>
    </sheetView>
  </sheetViews>
  <sheetFormatPr baseColWidth="10" defaultColWidth="16.28515625" defaultRowHeight="12.75"/>
  <cols>
    <col min="1" max="1" width="16.28515625" customWidth="1"/>
    <col min="2" max="2" width="8.28515625" customWidth="1"/>
    <col min="3" max="3" width="6.5703125" customWidth="1"/>
    <col min="4" max="4" width="30.5703125" customWidth="1"/>
    <col min="5" max="5" width="26" customWidth="1"/>
    <col min="6" max="6" width="19.7109375" customWidth="1"/>
    <col min="7" max="7" width="22.28515625" customWidth="1"/>
  </cols>
  <sheetData>
    <row r="1" spans="2:10" s="436" customFormat="1"/>
    <row r="2" spans="2:10" s="436" customFormat="1"/>
    <row r="3" spans="2:10" s="436" customFormat="1" ht="21" thickBot="1">
      <c r="B3" s="452"/>
      <c r="C3" s="453"/>
      <c r="D3" s="453"/>
      <c r="E3" s="453"/>
      <c r="F3" s="453"/>
      <c r="G3" s="453"/>
      <c r="H3" s="362"/>
      <c r="I3" s="362"/>
    </row>
    <row r="4" spans="2:10" ht="109.5" customHeight="1">
      <c r="B4" s="438" t="s">
        <v>653</v>
      </c>
      <c r="C4" s="439"/>
      <c r="D4" s="439"/>
      <c r="E4" s="439"/>
      <c r="F4" s="439"/>
      <c r="G4" s="440"/>
      <c r="H4" s="364"/>
      <c r="I4" s="365"/>
    </row>
    <row r="5" spans="2:10">
      <c r="B5" s="366"/>
      <c r="C5" s="367"/>
      <c r="D5" s="367"/>
      <c r="E5" s="367"/>
      <c r="F5" s="367"/>
      <c r="G5" s="368"/>
      <c r="H5" s="362"/>
      <c r="I5" s="363"/>
    </row>
    <row r="6" spans="2:10" ht="15.75">
      <c r="B6" s="366"/>
      <c r="C6" s="369" t="s">
        <v>654</v>
      </c>
      <c r="D6" s="370"/>
      <c r="E6" s="370"/>
      <c r="F6" s="367"/>
      <c r="G6" s="371"/>
      <c r="H6" s="362"/>
    </row>
    <row r="7" spans="2:10" ht="18.75">
      <c r="B7" s="366"/>
      <c r="C7" s="372" t="s">
        <v>372</v>
      </c>
      <c r="D7" s="373"/>
      <c r="E7" s="370"/>
      <c r="F7" s="367"/>
      <c r="G7" s="368"/>
      <c r="H7" s="362"/>
      <c r="I7" s="363"/>
    </row>
    <row r="8" spans="2:10">
      <c r="B8" s="366"/>
      <c r="C8" s="374"/>
      <c r="D8" s="374"/>
      <c r="E8" s="375" t="s">
        <v>1</v>
      </c>
      <c r="F8" s="376"/>
      <c r="G8" s="377" t="s">
        <v>373</v>
      </c>
      <c r="H8" s="362"/>
      <c r="I8" s="378"/>
    </row>
    <row r="9" spans="2:10" ht="15.75">
      <c r="B9" s="366"/>
      <c r="C9" s="379" t="s">
        <v>374</v>
      </c>
      <c r="D9" s="375"/>
      <c r="E9" s="375"/>
      <c r="F9" s="380"/>
      <c r="G9" s="381">
        <v>211379.89</v>
      </c>
      <c r="H9" s="362">
        <v>410275.22</v>
      </c>
      <c r="I9" s="382"/>
    </row>
    <row r="10" spans="2:10">
      <c r="B10" s="366"/>
      <c r="C10" s="367"/>
      <c r="D10" s="367"/>
      <c r="E10" s="367"/>
      <c r="F10" s="367"/>
      <c r="G10" s="368"/>
      <c r="I10" s="383"/>
    </row>
    <row r="11" spans="2:10" ht="23.25">
      <c r="B11" s="366"/>
      <c r="C11" s="441" t="s">
        <v>375</v>
      </c>
      <c r="D11" s="441"/>
      <c r="E11" s="441"/>
      <c r="F11" s="441"/>
      <c r="G11" s="442"/>
      <c r="H11" s="384"/>
      <c r="I11" s="385"/>
    </row>
    <row r="12" spans="2:10" ht="15.75">
      <c r="B12" s="366"/>
      <c r="C12" s="380"/>
      <c r="D12" s="386" t="s">
        <v>53</v>
      </c>
      <c r="E12" s="380"/>
      <c r="F12" s="380"/>
      <c r="G12" s="387" t="s">
        <v>49</v>
      </c>
      <c r="H12" s="388"/>
      <c r="I12" s="385"/>
    </row>
    <row r="13" spans="2:10" ht="14.25">
      <c r="B13" s="366"/>
      <c r="C13" s="389"/>
      <c r="D13" s="390"/>
      <c r="E13" s="390"/>
      <c r="F13" s="391"/>
      <c r="G13" s="392"/>
      <c r="H13" s="393"/>
      <c r="I13" s="385"/>
    </row>
    <row r="14" spans="2:10">
      <c r="B14" s="366"/>
      <c r="C14" s="394" t="s">
        <v>376</v>
      </c>
      <c r="D14" s="379" t="s">
        <v>366</v>
      </c>
      <c r="E14" s="395"/>
      <c r="F14" s="391"/>
      <c r="G14" s="396">
        <f>G9</f>
        <v>211379.89</v>
      </c>
      <c r="H14" s="393"/>
      <c r="I14" s="397"/>
    </row>
    <row r="15" spans="2:10">
      <c r="B15" s="366"/>
      <c r="C15" s="398" t="s">
        <v>377</v>
      </c>
      <c r="D15" s="399" t="s">
        <v>10</v>
      </c>
      <c r="E15" s="400"/>
      <c r="F15" s="401"/>
      <c r="G15" s="402">
        <f>G14</f>
        <v>211379.89</v>
      </c>
      <c r="H15" s="403"/>
      <c r="I15" s="404"/>
      <c r="J15" s="405"/>
    </row>
    <row r="16" spans="2:10">
      <c r="B16" s="366"/>
      <c r="C16" s="398" t="s">
        <v>378</v>
      </c>
      <c r="D16" s="399" t="s">
        <v>43</v>
      </c>
      <c r="E16" s="400">
        <f>ROUND(J18,4)</f>
        <v>0.29809999999999998</v>
      </c>
      <c r="F16" s="401"/>
      <c r="G16" s="402">
        <f>G.General!G19</f>
        <v>63017.783333333326</v>
      </c>
      <c r="H16" s="403"/>
      <c r="I16" s="404"/>
      <c r="J16" s="405"/>
    </row>
    <row r="17" spans="2:10">
      <c r="B17" s="366"/>
      <c r="C17" s="376" t="s">
        <v>379</v>
      </c>
      <c r="D17" s="406" t="s">
        <v>4</v>
      </c>
      <c r="E17" s="407"/>
      <c r="F17" s="391"/>
      <c r="G17" s="396">
        <f>SUM(G15:G16)</f>
        <v>274397.67333333334</v>
      </c>
      <c r="H17" s="403"/>
      <c r="I17" s="408"/>
    </row>
    <row r="18" spans="2:10" ht="15.75">
      <c r="B18" s="366"/>
      <c r="C18" s="367"/>
      <c r="D18" s="409"/>
      <c r="E18" s="409"/>
      <c r="F18" s="410"/>
      <c r="G18" s="411"/>
      <c r="H18" s="362"/>
      <c r="I18" s="412"/>
      <c r="J18">
        <f>G16/G15</f>
        <v>0.29812572678192484</v>
      </c>
    </row>
    <row r="19" spans="2:10" ht="15.75">
      <c r="B19" s="366"/>
      <c r="C19" s="413"/>
      <c r="D19" s="414" t="s">
        <v>651</v>
      </c>
      <c r="E19" s="414"/>
      <c r="F19" s="415"/>
      <c r="G19" s="416">
        <f>G17</f>
        <v>274397.67333333334</v>
      </c>
      <c r="H19" s="362"/>
    </row>
    <row r="20" spans="2:10">
      <c r="B20" s="366"/>
      <c r="C20" s="367"/>
      <c r="D20" s="367"/>
      <c r="E20" s="367"/>
      <c r="F20" s="367"/>
      <c r="G20" s="417" t="s">
        <v>1</v>
      </c>
      <c r="H20" s="362"/>
      <c r="I20" s="363"/>
    </row>
    <row r="21" spans="2:10" ht="13.5" thickBot="1">
      <c r="B21" s="366"/>
      <c r="C21" s="367"/>
      <c r="D21" s="399" t="s">
        <v>380</v>
      </c>
      <c r="E21" s="400">
        <f>ROUND(J21,4)</f>
        <v>9.0999999999999998E-2</v>
      </c>
      <c r="F21" s="367"/>
      <c r="G21" s="418">
        <f>Supervision!G158</f>
        <v>24961.5</v>
      </c>
      <c r="H21" s="362"/>
      <c r="I21" s="363"/>
      <c r="J21" s="435">
        <f>G21/G19</f>
        <v>9.0968336927832544E-2</v>
      </c>
    </row>
    <row r="22" spans="2:10" ht="6" customHeight="1" thickTop="1">
      <c r="B22" s="366"/>
      <c r="C22" s="367"/>
      <c r="D22" s="367"/>
      <c r="E22" s="367"/>
      <c r="F22" s="367"/>
      <c r="G22" s="417"/>
      <c r="H22" s="362"/>
      <c r="I22" s="363"/>
    </row>
    <row r="23" spans="2:10" ht="15.75">
      <c r="B23" s="366"/>
      <c r="C23" s="413"/>
      <c r="D23" s="419" t="s">
        <v>650</v>
      </c>
      <c r="E23" s="419"/>
      <c r="F23" s="420"/>
      <c r="G23" s="421">
        <f>G19+G21+0.005</f>
        <v>299359.17833333334</v>
      </c>
      <c r="H23" s="362"/>
    </row>
    <row r="24" spans="2:10">
      <c r="B24" s="366"/>
      <c r="C24" s="367"/>
      <c r="D24" s="367"/>
      <c r="E24" s="367"/>
      <c r="F24" s="367"/>
      <c r="G24" s="417" t="s">
        <v>1</v>
      </c>
      <c r="H24" s="362"/>
      <c r="I24" s="363"/>
    </row>
    <row r="25" spans="2:10">
      <c r="B25" s="366"/>
      <c r="C25" s="367"/>
      <c r="D25" s="399" t="s">
        <v>367</v>
      </c>
      <c r="E25" s="400">
        <f>G25/G23</f>
        <v>3.3404688159803485E-2</v>
      </c>
      <c r="F25" s="367"/>
      <c r="G25" s="402">
        <v>10000</v>
      </c>
      <c r="H25" s="362"/>
      <c r="I25" s="363"/>
      <c r="J25" s="405"/>
    </row>
    <row r="26" spans="2:10">
      <c r="B26" s="366"/>
      <c r="C26" s="367"/>
      <c r="D26" s="399" t="s">
        <v>588</v>
      </c>
      <c r="E26" s="400">
        <f>G26/G23</f>
        <v>5.1657210198449065E-2</v>
      </c>
      <c r="F26" s="367"/>
      <c r="G26" s="402">
        <f>Gestión!G19</f>
        <v>15464.06</v>
      </c>
      <c r="H26" s="362"/>
      <c r="I26" s="363"/>
      <c r="J26" s="405"/>
    </row>
    <row r="27" spans="2:10" ht="13.5" thickBot="1">
      <c r="B27" s="366"/>
      <c r="C27" s="367"/>
      <c r="D27" s="399" t="s">
        <v>138</v>
      </c>
      <c r="E27" s="400">
        <f>G27/G23</f>
        <v>5.7759211179912208E-2</v>
      </c>
      <c r="F27" s="367"/>
      <c r="G27" s="434">
        <f>Liquidacion!G19</f>
        <v>17290.75</v>
      </c>
      <c r="H27" s="362"/>
      <c r="I27" s="363"/>
      <c r="J27" s="405"/>
    </row>
    <row r="28" spans="2:10">
      <c r="B28" s="366"/>
      <c r="C28" s="367"/>
      <c r="D28" s="367"/>
      <c r="E28" s="367"/>
      <c r="F28" s="367"/>
      <c r="G28" s="417"/>
      <c r="H28" s="362"/>
      <c r="I28" s="363"/>
    </row>
    <row r="29" spans="2:10" ht="18">
      <c r="B29" s="366"/>
      <c r="C29" s="413"/>
      <c r="D29" s="419" t="s">
        <v>381</v>
      </c>
      <c r="E29" s="419"/>
      <c r="F29" s="420"/>
      <c r="G29" s="422">
        <f>G25+G27+G26+G23</f>
        <v>342113.98833333334</v>
      </c>
      <c r="H29" s="362"/>
      <c r="J29" s="423"/>
    </row>
    <row r="30" spans="2:10" ht="12.75" customHeight="1" thickBot="1">
      <c r="B30" s="424"/>
      <c r="C30" s="425"/>
      <c r="D30" s="425"/>
      <c r="E30" s="425"/>
      <c r="F30" s="425"/>
      <c r="G30" s="426"/>
      <c r="H30" s="362"/>
      <c r="I30" s="363"/>
      <c r="J30" s="423"/>
    </row>
    <row r="31" spans="2:10" ht="12.75" customHeight="1">
      <c r="B31" s="443" t="str">
        <f>CONCATENATE("SON : ",letra(G29)," NUEVOS SOLES")</f>
        <v>SON : TRESCIENTOS CUARENTA Y DOS MIL CIENTO TRECE CON 99/100 NUEVOS SOLES</v>
      </c>
      <c r="C31" s="444"/>
      <c r="D31" s="444"/>
      <c r="E31" s="444"/>
      <c r="F31" s="444"/>
      <c r="G31" s="445"/>
      <c r="H31" s="362"/>
      <c r="I31" s="363"/>
    </row>
    <row r="32" spans="2:10" ht="12.75" customHeight="1">
      <c r="B32" s="446"/>
      <c r="C32" s="447"/>
      <c r="D32" s="447"/>
      <c r="E32" s="447"/>
      <c r="F32" s="447"/>
      <c r="G32" s="448"/>
      <c r="H32" s="362"/>
      <c r="I32" s="363"/>
    </row>
    <row r="33" spans="1:9" ht="13.5" customHeight="1" thickBot="1">
      <c r="B33" s="449"/>
      <c r="C33" s="450"/>
      <c r="D33" s="450"/>
      <c r="E33" s="450"/>
      <c r="F33" s="450"/>
      <c r="G33" s="451"/>
      <c r="H33" s="362"/>
      <c r="I33" s="363"/>
    </row>
    <row r="34" spans="1:9">
      <c r="B34" s="427"/>
      <c r="C34" s="427"/>
      <c r="D34" s="427"/>
      <c r="E34" s="427"/>
      <c r="F34" s="427"/>
      <c r="G34" s="427"/>
      <c r="H34" s="362"/>
      <c r="I34" s="363"/>
    </row>
    <row r="35" spans="1:9">
      <c r="A35" s="363"/>
      <c r="B35" s="427"/>
      <c r="C35" s="428"/>
      <c r="D35" s="427"/>
      <c r="E35" s="427"/>
      <c r="F35" s="427"/>
      <c r="G35" s="427"/>
    </row>
    <row r="36" spans="1:9">
      <c r="B36" s="427"/>
      <c r="C36" s="428"/>
      <c r="D36" s="427"/>
      <c r="E36" s="427"/>
      <c r="F36" s="427"/>
      <c r="G36" s="427"/>
    </row>
    <row r="37" spans="1:9">
      <c r="C37" s="428"/>
    </row>
    <row r="38" spans="1:9">
      <c r="C38" s="428"/>
      <c r="D38" s="362"/>
    </row>
    <row r="39" spans="1:9">
      <c r="D39" s="362"/>
    </row>
    <row r="41" spans="1:9">
      <c r="G41" s="405"/>
    </row>
  </sheetData>
  <mergeCells count="4">
    <mergeCell ref="B4:G4"/>
    <mergeCell ref="C11:G11"/>
    <mergeCell ref="B31:G33"/>
    <mergeCell ref="B3:G3"/>
  </mergeCells>
  <printOptions horizontalCentered="1"/>
  <pageMargins left="0.98425196850393704" right="0.70866141732283472" top="1.6929133858267718" bottom="0.74803149606299213" header="0.31496062992125984" footer="0.31496062992125984"/>
  <pageSetup paperSize="9" scale="72" orientation="portrait" r:id="rId1"/>
  <headerFooter alignWithMargins="0"/>
  <colBreaks count="1" manualBreakCount="1">
    <brk id="7" max="1048575" man="1"/>
  </colBreaks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L36"/>
  <sheetViews>
    <sheetView showGridLines="0" view="pageBreakPreview" topLeftCell="A7" zoomScale="80" zoomScaleNormal="70" zoomScaleSheetLayoutView="80" workbookViewId="0">
      <selection activeCell="A21" sqref="A21:B21"/>
    </sheetView>
  </sheetViews>
  <sheetFormatPr baseColWidth="10" defaultColWidth="12.5703125" defaultRowHeight="12.75"/>
  <cols>
    <col min="1" max="1" width="12.85546875" style="17" customWidth="1"/>
    <col min="2" max="2" width="60.7109375" style="17" customWidth="1"/>
    <col min="3" max="3" width="17.5703125" style="17" customWidth="1"/>
    <col min="4" max="4" width="14.5703125" style="17" customWidth="1"/>
    <col min="5" max="5" width="18.28515625" style="17" customWidth="1"/>
    <col min="6" max="6" width="26.140625" style="17" hidden="1" customWidth="1"/>
    <col min="7" max="7" width="18" style="17" customWidth="1"/>
    <col min="8" max="8" width="17.7109375" style="17" customWidth="1"/>
    <col min="9" max="9" width="14.5703125" style="17" customWidth="1"/>
    <col min="10" max="10" width="14.5703125" style="17" hidden="1" customWidth="1"/>
    <col min="11" max="11" width="16.42578125" style="17" customWidth="1"/>
    <col min="12" max="16384" width="12.5703125" style="17"/>
  </cols>
  <sheetData>
    <row r="1" spans="1:11" ht="20.25" customHeight="1"/>
    <row r="2" spans="1:11" ht="20.25" customHeight="1"/>
    <row r="3" spans="1:11" ht="11.25" customHeight="1">
      <c r="A3" s="454" t="s">
        <v>1</v>
      </c>
      <c r="B3" s="455"/>
      <c r="C3" s="455"/>
      <c r="D3" s="455"/>
      <c r="E3" s="455"/>
      <c r="F3" s="455"/>
      <c r="G3" s="455"/>
      <c r="H3" s="455"/>
      <c r="I3" s="455"/>
      <c r="J3" s="455"/>
      <c r="K3" s="456"/>
    </row>
    <row r="4" spans="1:11" s="18" customFormat="1" ht="27" customHeight="1">
      <c r="A4" s="457" t="s">
        <v>125</v>
      </c>
      <c r="B4" s="458"/>
      <c r="C4" s="458"/>
      <c r="D4" s="458"/>
      <c r="E4" s="458"/>
      <c r="F4" s="458"/>
      <c r="G4" s="458"/>
      <c r="H4" s="458"/>
      <c r="I4" s="458"/>
      <c r="J4" s="458"/>
      <c r="K4" s="459"/>
    </row>
    <row r="5" spans="1:11" s="18" customFormat="1" ht="3" customHeight="1">
      <c r="A5" s="173"/>
      <c r="B5" s="174"/>
      <c r="C5" s="174"/>
      <c r="D5" s="174"/>
      <c r="E5" s="174"/>
      <c r="F5" s="174"/>
      <c r="G5" s="174"/>
      <c r="H5" s="174"/>
      <c r="I5" s="174"/>
      <c r="J5" s="174"/>
      <c r="K5" s="338"/>
    </row>
    <row r="6" spans="1:11" s="18" customFormat="1" ht="27" customHeight="1">
      <c r="A6" s="168"/>
      <c r="B6" s="258"/>
      <c r="C6" s="168"/>
      <c r="D6" s="168"/>
      <c r="E6" s="168"/>
      <c r="F6" s="168"/>
      <c r="G6" s="168"/>
      <c r="H6" s="168"/>
      <c r="I6" s="168"/>
      <c r="J6" s="168"/>
      <c r="K6" s="168"/>
    </row>
    <row r="7" spans="1:11" s="18" customFormat="1" ht="27" customHeight="1">
      <c r="A7" s="465" t="s">
        <v>325</v>
      </c>
      <c r="B7" s="465"/>
      <c r="C7" s="465"/>
      <c r="D7" s="465"/>
      <c r="E7" s="465"/>
      <c r="F7" s="465"/>
      <c r="G7" s="465"/>
      <c r="H7" s="465"/>
      <c r="I7" s="465"/>
      <c r="J7" s="465"/>
      <c r="K7" s="465"/>
    </row>
    <row r="8" spans="1:11" s="18" customFormat="1" ht="42" customHeight="1">
      <c r="A8" s="466" t="s">
        <v>648</v>
      </c>
      <c r="B8" s="466"/>
      <c r="C8" s="466"/>
      <c r="D8" s="466"/>
      <c r="E8" s="466"/>
      <c r="F8" s="466"/>
      <c r="G8" s="466"/>
      <c r="H8" s="466"/>
      <c r="I8" s="466"/>
      <c r="J8" s="466"/>
      <c r="K8" s="466"/>
    </row>
    <row r="9" spans="1:11" s="22" customFormat="1" ht="15">
      <c r="A9" s="19"/>
      <c r="B9" s="20" t="s">
        <v>35</v>
      </c>
      <c r="C9" s="166" t="s">
        <v>306</v>
      </c>
      <c r="D9" s="166"/>
      <c r="E9" s="166"/>
      <c r="F9" s="166"/>
      <c r="G9" s="21"/>
      <c r="H9" s="21"/>
      <c r="I9" s="21"/>
      <c r="J9" s="21"/>
      <c r="K9" s="21"/>
    </row>
    <row r="10" spans="1:11" s="22" customFormat="1" ht="15">
      <c r="A10" s="19"/>
      <c r="B10" s="20" t="s">
        <v>65</v>
      </c>
      <c r="C10" s="30" t="s">
        <v>370</v>
      </c>
      <c r="D10" s="30"/>
      <c r="E10" s="30"/>
      <c r="F10" s="30"/>
      <c r="G10" s="18"/>
      <c r="H10" s="18"/>
      <c r="I10" s="18"/>
      <c r="J10" s="18"/>
      <c r="K10" s="18"/>
    </row>
    <row r="11" spans="1:11" s="22" customFormat="1" ht="15">
      <c r="A11" s="19"/>
      <c r="B11" s="20" t="s">
        <v>66</v>
      </c>
      <c r="C11" s="30" t="s">
        <v>371</v>
      </c>
      <c r="D11" s="30"/>
      <c r="E11" s="30"/>
      <c r="F11" s="30"/>
      <c r="G11" s="18"/>
      <c r="H11" s="18"/>
      <c r="I11" s="18"/>
      <c r="J11" s="18"/>
      <c r="K11" s="18"/>
    </row>
    <row r="12" spans="1:11" s="22" customFormat="1" ht="15">
      <c r="A12" s="19"/>
      <c r="B12" s="20" t="s">
        <v>67</v>
      </c>
      <c r="C12" s="437" t="s">
        <v>649</v>
      </c>
      <c r="D12" s="30"/>
      <c r="E12" s="30"/>
      <c r="F12" s="30"/>
      <c r="G12" s="18"/>
      <c r="H12" s="18"/>
      <c r="I12" s="18"/>
      <c r="J12" s="18"/>
      <c r="K12" s="18"/>
    </row>
    <row r="13" spans="1:11" s="22" customFormat="1" ht="31.5" customHeight="1">
      <c r="A13" s="19"/>
      <c r="B13" s="20" t="s">
        <v>111</v>
      </c>
      <c r="C13" s="464" t="str">
        <f>+A8</f>
        <v>“OPTIMIZACIÓN  DE COBERTURA METALICA Y TRIBUNA DE LA IE No. 550006 BELEN DE OSMA Y PARDO, PROVINCIA DE ANDAHUAYLAS-REGION APURIMAC"</v>
      </c>
      <c r="D13" s="464"/>
      <c r="E13" s="464"/>
      <c r="F13" s="464"/>
      <c r="G13" s="464"/>
      <c r="H13" s="464"/>
      <c r="I13" s="464"/>
      <c r="J13" s="464"/>
      <c r="K13" s="464"/>
    </row>
    <row r="14" spans="1:11" s="22" customFormat="1" ht="15.75" thickBot="1">
      <c r="A14" s="19"/>
      <c r="B14" s="20"/>
      <c r="C14" s="23"/>
      <c r="D14" s="23"/>
      <c r="E14" s="23"/>
      <c r="F14" s="23"/>
      <c r="G14" s="21"/>
      <c r="H14" s="18"/>
      <c r="I14" s="18"/>
      <c r="J14" s="18"/>
      <c r="K14" s="18"/>
    </row>
    <row r="15" spans="1:11" s="63" customFormat="1" ht="45">
      <c r="A15" s="314" t="s">
        <v>36</v>
      </c>
      <c r="B15" s="315" t="s">
        <v>37</v>
      </c>
      <c r="C15" s="273" t="s">
        <v>10</v>
      </c>
      <c r="D15" s="273" t="s">
        <v>43</v>
      </c>
      <c r="E15" s="273" t="s">
        <v>330</v>
      </c>
      <c r="F15" s="273" t="s">
        <v>153</v>
      </c>
      <c r="G15" s="273" t="s">
        <v>331</v>
      </c>
      <c r="H15" s="273" t="s">
        <v>69</v>
      </c>
      <c r="I15" s="273" t="s">
        <v>138</v>
      </c>
      <c r="J15" s="323" t="s">
        <v>321</v>
      </c>
      <c r="K15" s="274" t="s">
        <v>123</v>
      </c>
    </row>
    <row r="16" spans="1:11" s="63" customFormat="1" ht="38.25" customHeight="1">
      <c r="A16" s="170" t="s">
        <v>292</v>
      </c>
      <c r="B16" s="169" t="s">
        <v>144</v>
      </c>
      <c r="C16" s="171">
        <f>+'C.Directo'!G16</f>
        <v>673698.088552</v>
      </c>
      <c r="D16" s="171">
        <f>+G.General!G15</f>
        <v>62133.583333333328</v>
      </c>
      <c r="E16" s="171">
        <v>0</v>
      </c>
      <c r="F16" s="171">
        <f>+'Exp.Téc. '!G14</f>
        <v>0</v>
      </c>
      <c r="G16" s="171">
        <f>C16+D16+E16</f>
        <v>735831.67188533337</v>
      </c>
      <c r="H16" s="171">
        <f>+Supervision!G14</f>
        <v>17371.5</v>
      </c>
      <c r="I16" s="171">
        <f>+Liquidacion!G15</f>
        <v>14476.249999999998</v>
      </c>
      <c r="J16" s="324"/>
      <c r="K16" s="172">
        <f>SUM(G16:I16)</f>
        <v>767679.42188533337</v>
      </c>
    </row>
    <row r="17" spans="1:12" s="63" customFormat="1" ht="38.25" customHeight="1">
      <c r="A17" s="170" t="s">
        <v>293</v>
      </c>
      <c r="B17" s="169" t="s">
        <v>145</v>
      </c>
      <c r="C17" s="171">
        <f>+'C.Directo'!G17</f>
        <v>1377483.6683410008</v>
      </c>
      <c r="D17" s="171">
        <f>+G.General!G16</f>
        <v>704.2</v>
      </c>
      <c r="E17" s="171">
        <v>0</v>
      </c>
      <c r="F17" s="171">
        <f>+'Exp.Téc. '!G15</f>
        <v>0</v>
      </c>
      <c r="G17" s="171">
        <f>C17+D17+E17</f>
        <v>1378187.8683410008</v>
      </c>
      <c r="H17" s="171">
        <f>+Supervision!G15</f>
        <v>5590</v>
      </c>
      <c r="I17" s="171">
        <f>+Liquidacion!G16</f>
        <v>1564.5</v>
      </c>
      <c r="J17" s="324"/>
      <c r="K17" s="172">
        <f>SUM(G17:I17)</f>
        <v>1385342.3683410008</v>
      </c>
    </row>
    <row r="18" spans="1:12" s="63" customFormat="1" ht="38.25" customHeight="1">
      <c r="A18" s="170" t="s">
        <v>294</v>
      </c>
      <c r="B18" s="169" t="s">
        <v>146</v>
      </c>
      <c r="C18" s="171">
        <f>+'C.Directo'!G18</f>
        <v>168504.07309999995</v>
      </c>
      <c r="D18" s="171">
        <f>+G.General!G17</f>
        <v>180</v>
      </c>
      <c r="E18" s="171">
        <v>0</v>
      </c>
      <c r="F18" s="171">
        <f>+'Exp.Téc. '!G16</f>
        <v>0</v>
      </c>
      <c r="G18" s="171">
        <f>C18+D18+E18</f>
        <v>168684.07309999995</v>
      </c>
      <c r="H18" s="171">
        <f>+Supervision!G16</f>
        <v>2000</v>
      </c>
      <c r="I18" s="171">
        <f>+Liquidacion!G17</f>
        <v>1250</v>
      </c>
      <c r="J18" s="324"/>
      <c r="K18" s="172">
        <f>SUM(G18:I18)</f>
        <v>171934.07309999995</v>
      </c>
    </row>
    <row r="19" spans="1:12" s="63" customFormat="1" ht="38.25" customHeight="1">
      <c r="A19" s="170" t="s">
        <v>301</v>
      </c>
      <c r="B19" s="169" t="s">
        <v>147</v>
      </c>
      <c r="C19" s="171">
        <f>+'C.Directo'!G19</f>
        <v>0</v>
      </c>
      <c r="D19" s="171">
        <f>+G.General!G18</f>
        <v>0</v>
      </c>
      <c r="E19" s="171" t="e">
        <f>+RESUMEN!#REF!+RESUMEN!#REF!+RESUMEN!#REF!+RESUMEN!G25+RESUMEN!G26+RESUMEN!G27</f>
        <v>#REF!</v>
      </c>
      <c r="F19" s="171"/>
      <c r="G19" s="171" t="e">
        <f>C19+D19+E19</f>
        <v>#REF!</v>
      </c>
      <c r="H19" s="171">
        <f>+Supervision!G17</f>
        <v>0</v>
      </c>
      <c r="I19" s="171">
        <f>+Liquidacion!G18</f>
        <v>0</v>
      </c>
      <c r="J19" s="324"/>
      <c r="K19" s="172" t="e">
        <f>SUM(G19:I19)</f>
        <v>#REF!</v>
      </c>
    </row>
    <row r="20" spans="1:12" s="63" customFormat="1" ht="38.25" customHeight="1">
      <c r="A20" s="170" t="s">
        <v>303</v>
      </c>
      <c r="B20" s="169" t="s">
        <v>304</v>
      </c>
      <c r="C20" s="171">
        <v>0</v>
      </c>
      <c r="D20" s="171">
        <v>0</v>
      </c>
      <c r="E20" s="171">
        <v>0</v>
      </c>
      <c r="F20" s="171">
        <f>+'Exp.Téc. '!G18</f>
        <v>0</v>
      </c>
      <c r="G20" s="171">
        <f>C20+D20+E20</f>
        <v>0</v>
      </c>
      <c r="H20" s="171">
        <v>0</v>
      </c>
      <c r="I20" s="171">
        <v>0</v>
      </c>
      <c r="J20" s="324"/>
      <c r="K20" s="172">
        <f>SUM(G20:I20)</f>
        <v>0</v>
      </c>
    </row>
    <row r="21" spans="1:12" s="63" customFormat="1" ht="18.75" thickBot="1">
      <c r="A21" s="460" t="s">
        <v>3</v>
      </c>
      <c r="B21" s="461"/>
      <c r="C21" s="275">
        <f t="shared" ref="C21:I21" si="0">SUM(C16:C20)</f>
        <v>2219685.8299930007</v>
      </c>
      <c r="D21" s="275">
        <f>SUM(D16:D20)</f>
        <v>63017.783333333326</v>
      </c>
      <c r="E21" s="275" t="e">
        <f t="shared" si="0"/>
        <v>#REF!</v>
      </c>
      <c r="F21" s="275">
        <f t="shared" si="0"/>
        <v>0</v>
      </c>
      <c r="G21" s="275" t="e">
        <f t="shared" si="0"/>
        <v>#REF!</v>
      </c>
      <c r="H21" s="275">
        <f>SUM(H16:H20)</f>
        <v>24961.5</v>
      </c>
      <c r="I21" s="275">
        <f t="shared" si="0"/>
        <v>17290.75</v>
      </c>
      <c r="J21" s="325"/>
      <c r="K21" s="276" t="e">
        <f>SUM(K16:K20)</f>
        <v>#REF!</v>
      </c>
      <c r="L21" s="189" t="e">
        <f>+K21-K20</f>
        <v>#REF!</v>
      </c>
    </row>
    <row r="22" spans="1:12" s="63" customFormat="1" ht="18.75" hidden="1" thickBot="1">
      <c r="A22" s="462" t="s">
        <v>84</v>
      </c>
      <c r="B22" s="463" t="s">
        <v>84</v>
      </c>
      <c r="C22" s="337"/>
      <c r="D22" s="244">
        <f>+D21/$C$21</f>
        <v>2.8390406643057246E-2</v>
      </c>
      <c r="E22" s="337"/>
      <c r="F22" s="337"/>
      <c r="G22" s="336">
        <v>1</v>
      </c>
      <c r="H22" s="244" t="e">
        <f>+H21/$G$21</f>
        <v>#REF!</v>
      </c>
      <c r="I22" s="244" t="e">
        <f>+I21/$G$21</f>
        <v>#REF!</v>
      </c>
      <c r="J22" s="244">
        <f>J21/C21</f>
        <v>0</v>
      </c>
      <c r="K22" s="244"/>
    </row>
    <row r="23" spans="1:12" s="22" customFormat="1" ht="14.25">
      <c r="A23" s="19"/>
      <c r="B23" s="21"/>
      <c r="C23" s="24"/>
      <c r="D23" s="24"/>
      <c r="E23" s="24"/>
      <c r="F23" s="24"/>
      <c r="G23" s="18"/>
      <c r="H23" s="18"/>
      <c r="I23" s="18"/>
      <c r="J23" s="18"/>
      <c r="K23" s="18"/>
    </row>
    <row r="24" spans="1:12" s="22" customFormat="1" ht="14.25">
      <c r="A24" s="19"/>
      <c r="B24" s="21"/>
      <c r="C24" s="327"/>
      <c r="D24" s="327"/>
      <c r="E24" s="327"/>
      <c r="F24" s="327"/>
      <c r="G24" s="328"/>
      <c r="H24" s="328"/>
      <c r="I24" s="328"/>
      <c r="J24" s="18"/>
      <c r="K24" s="18"/>
    </row>
    <row r="25" spans="1:12">
      <c r="I25" s="326"/>
      <c r="J25" s="322"/>
    </row>
    <row r="30" spans="1:12">
      <c r="C30" s="339"/>
    </row>
    <row r="31" spans="1:12">
      <c r="K31" s="339"/>
      <c r="L31" s="339"/>
    </row>
    <row r="32" spans="1:12">
      <c r="K32" s="339"/>
      <c r="L32" s="339"/>
    </row>
    <row r="33" spans="11:11">
      <c r="K33" s="339"/>
    </row>
    <row r="34" spans="11:11">
      <c r="K34" s="339"/>
    </row>
    <row r="35" spans="11:11">
      <c r="K35" s="339"/>
    </row>
    <row r="36" spans="11:11">
      <c r="K36" s="339"/>
    </row>
  </sheetData>
  <mergeCells count="7">
    <mergeCell ref="A3:K3"/>
    <mergeCell ref="A4:K4"/>
    <mergeCell ref="A21:B21"/>
    <mergeCell ref="A22:B22"/>
    <mergeCell ref="C13:K13"/>
    <mergeCell ref="A7:K7"/>
    <mergeCell ref="A8:K8"/>
  </mergeCells>
  <phoneticPr fontId="0" type="noConversion"/>
  <printOptions horizontalCentered="1"/>
  <pageMargins left="0.59055118110236227" right="0.59055118110236227" top="1.1811023622047245" bottom="0.78740157480314965" header="0.59055118110236227" footer="0"/>
  <pageSetup paperSize="9" scale="71" orientation="landscape" horizontalDpi="4294967294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J591"/>
  <sheetViews>
    <sheetView view="pageBreakPreview" zoomScale="80" zoomScaleSheetLayoutView="80" workbookViewId="0">
      <selection activeCell="C11" sqref="C11:G12"/>
    </sheetView>
  </sheetViews>
  <sheetFormatPr baseColWidth="10" defaultColWidth="11.42578125" defaultRowHeight="12.75"/>
  <cols>
    <col min="1" max="1" width="3.7109375" style="25" customWidth="1"/>
    <col min="2" max="2" width="50.7109375" style="25" customWidth="1"/>
    <col min="3" max="3" width="17" style="179" customWidth="1"/>
    <col min="4" max="4" width="16.85546875" style="25" customWidth="1"/>
    <col min="5" max="5" width="15.7109375" style="25" customWidth="1"/>
    <col min="6" max="6" width="14.7109375" style="25" customWidth="1"/>
    <col min="7" max="7" width="16" style="25" customWidth="1"/>
    <col min="8" max="8" width="11.5703125" style="25" customWidth="1"/>
    <col min="9" max="16384" width="11.42578125" style="25"/>
  </cols>
  <sheetData>
    <row r="1" spans="1:8" ht="21" customHeight="1">
      <c r="H1" s="179"/>
    </row>
    <row r="2" spans="1:8" ht="21" customHeight="1">
      <c r="H2" s="179"/>
    </row>
    <row r="3" spans="1:8" ht="27" customHeight="1">
      <c r="A3" s="479" t="s">
        <v>70</v>
      </c>
      <c r="B3" s="479"/>
      <c r="C3" s="479"/>
      <c r="D3" s="479"/>
      <c r="E3" s="479"/>
      <c r="F3" s="479"/>
      <c r="G3" s="479"/>
      <c r="H3" s="179"/>
    </row>
    <row r="4" spans="1:8" ht="18" customHeight="1">
      <c r="A4" s="26"/>
      <c r="B4" s="27"/>
      <c r="C4" s="176"/>
      <c r="D4" s="27"/>
      <c r="E4" s="27"/>
      <c r="F4" s="27"/>
      <c r="G4" s="27"/>
      <c r="H4" s="179"/>
    </row>
    <row r="5" spans="1:8" ht="18" customHeight="1">
      <c r="A5" s="28"/>
      <c r="B5" s="296"/>
      <c r="C5" s="297"/>
      <c r="D5" s="27"/>
      <c r="E5" s="27"/>
      <c r="F5" s="27"/>
      <c r="H5" s="179"/>
    </row>
    <row r="6" spans="1:8" ht="18" customHeight="1">
      <c r="A6" s="28"/>
      <c r="B6" s="296" t="s">
        <v>35</v>
      </c>
      <c r="C6" s="30" t="str">
        <f>[1]Resumen!C9</f>
        <v>:</v>
      </c>
      <c r="D6" s="27"/>
      <c r="E6" s="27"/>
      <c r="F6" s="27"/>
      <c r="G6" s="27"/>
      <c r="H6" s="179"/>
    </row>
    <row r="7" spans="1:8" ht="18" customHeight="1">
      <c r="A7" s="28"/>
      <c r="B7" s="296" t="s">
        <v>64</v>
      </c>
      <c r="C7" s="31" t="str">
        <f>[1]Resumen!C10</f>
        <v>:</v>
      </c>
      <c r="G7" s="30" t="s">
        <v>1</v>
      </c>
      <c r="H7" s="179"/>
    </row>
    <row r="8" spans="1:8" ht="18" customHeight="1">
      <c r="A8" s="28"/>
      <c r="B8" s="296" t="s">
        <v>65</v>
      </c>
      <c r="C8" s="30" t="str">
        <f>+'R'!C10</f>
        <v>:22 EDUCACIÓN</v>
      </c>
      <c r="G8" s="30" t="s">
        <v>1</v>
      </c>
      <c r="H8" s="179"/>
    </row>
    <row r="9" spans="1:8" ht="18" customHeight="1">
      <c r="A9" s="28"/>
      <c r="B9" s="296" t="s">
        <v>66</v>
      </c>
      <c r="C9" s="30" t="str">
        <f>+'R'!C11</f>
        <v>:047 EDUCACIÓN BÁSICA</v>
      </c>
      <c r="G9" s="30"/>
      <c r="H9" s="179"/>
    </row>
    <row r="10" spans="1:8" ht="18" customHeight="1">
      <c r="A10" s="28"/>
      <c r="B10" s="296" t="s">
        <v>67</v>
      </c>
      <c r="C10" s="30" t="str">
        <f>+'R'!C12</f>
        <v>:EDUCACIÓN PRIMARIA SECUNDARIA</v>
      </c>
      <c r="H10" s="179"/>
    </row>
    <row r="11" spans="1:8" ht="20.25" customHeight="1">
      <c r="A11" s="28"/>
      <c r="B11" s="296" t="s">
        <v>111</v>
      </c>
      <c r="C11" s="464" t="str">
        <f>+'R'!C13</f>
        <v>“OPTIMIZACIÓN  DE COBERTURA METALICA Y TRIBUNA DE LA IE No. 550006 BELEN DE OSMA Y PARDO, PROVINCIA DE ANDAHUAYLAS-REGION APURIMAC"</v>
      </c>
      <c r="D11" s="464"/>
      <c r="E11" s="464"/>
      <c r="F11" s="464"/>
      <c r="G11" s="464"/>
      <c r="H11" s="179"/>
    </row>
    <row r="12" spans="1:8" ht="18" customHeight="1">
      <c r="A12" s="28"/>
      <c r="B12" s="296"/>
      <c r="C12" s="464"/>
      <c r="D12" s="464"/>
      <c r="E12" s="464"/>
      <c r="F12" s="464"/>
      <c r="G12" s="464"/>
      <c r="H12" s="179"/>
    </row>
    <row r="13" spans="1:8" ht="18" customHeight="1">
      <c r="A13" s="28"/>
      <c r="B13" s="296"/>
      <c r="C13" s="30"/>
      <c r="D13" s="30"/>
      <c r="E13" s="30"/>
      <c r="F13" s="30"/>
      <c r="G13" s="30"/>
      <c r="H13" s="179"/>
    </row>
    <row r="14" spans="1:8" ht="18" customHeight="1" thickBot="1">
      <c r="A14" s="28"/>
      <c r="B14" s="296"/>
      <c r="C14" s="176"/>
      <c r="H14" s="179"/>
    </row>
    <row r="15" spans="1:8" s="18" customFormat="1" ht="35.25" customHeight="1" thickBot="1">
      <c r="A15" s="28"/>
      <c r="B15" s="298" t="s">
        <v>36</v>
      </c>
      <c r="C15" s="474" t="s">
        <v>37</v>
      </c>
      <c r="D15" s="475"/>
      <c r="E15" s="475"/>
      <c r="F15" s="476"/>
      <c r="G15" s="299" t="s">
        <v>152</v>
      </c>
      <c r="H15" s="349"/>
    </row>
    <row r="16" spans="1:8" s="18" customFormat="1" ht="35.25" customHeight="1">
      <c r="A16" s="28"/>
      <c r="B16" s="300" t="str">
        <f>[1]Resumen!A17</f>
        <v>2.6.2.2.2.4</v>
      </c>
      <c r="C16" s="301" t="s">
        <v>144</v>
      </c>
      <c r="D16" s="302"/>
      <c r="E16" s="282"/>
      <c r="F16" s="283"/>
      <c r="G16" s="284">
        <f>+G31</f>
        <v>673698.088552</v>
      </c>
      <c r="H16" s="349"/>
    </row>
    <row r="17" spans="1:10" s="18" customFormat="1" ht="35.25" customHeight="1">
      <c r="A17" s="28"/>
      <c r="B17" s="300" t="str">
        <f>[1]Resumen!A18</f>
        <v>2.6.2.2.2.5</v>
      </c>
      <c r="C17" s="303" t="s">
        <v>145</v>
      </c>
      <c r="D17" s="304"/>
      <c r="E17" s="285"/>
      <c r="F17" s="286"/>
      <c r="G17" s="287">
        <f>+G156</f>
        <v>1377483.6683410008</v>
      </c>
      <c r="H17" s="350"/>
    </row>
    <row r="18" spans="1:10" s="18" customFormat="1" ht="35.25" customHeight="1">
      <c r="A18" s="28"/>
      <c r="B18" s="300" t="str">
        <f>[1]Resumen!A19</f>
        <v>2.6.2.2.2.6</v>
      </c>
      <c r="C18" s="303" t="s">
        <v>146</v>
      </c>
      <c r="D18" s="304"/>
      <c r="E18" s="285"/>
      <c r="F18" s="286"/>
      <c r="G18" s="287">
        <f>+G437</f>
        <v>168504.07309999995</v>
      </c>
      <c r="H18" s="350"/>
    </row>
    <row r="19" spans="1:10" s="18" customFormat="1" ht="35.25" customHeight="1" thickBot="1">
      <c r="A19" s="28"/>
      <c r="B19" s="300" t="str">
        <f>[1]Resumen!A20</f>
        <v>2.6.2.2.2.7</v>
      </c>
      <c r="C19" s="305" t="s">
        <v>147</v>
      </c>
      <c r="D19" s="306"/>
      <c r="E19" s="288"/>
      <c r="F19" s="289"/>
      <c r="G19" s="290">
        <f>+G470</f>
        <v>0</v>
      </c>
      <c r="H19" s="350"/>
    </row>
    <row r="20" spans="1:10" s="18" customFormat="1" ht="35.25" customHeight="1" thickBot="1">
      <c r="A20" s="28"/>
      <c r="B20" s="481" t="s">
        <v>73</v>
      </c>
      <c r="C20" s="475"/>
      <c r="D20" s="475"/>
      <c r="E20" s="475"/>
      <c r="F20" s="476"/>
      <c r="G20" s="307">
        <f>SUM(G16:G19)</f>
        <v>2219685.8299930007</v>
      </c>
      <c r="H20" s="351"/>
      <c r="J20" s="328">
        <f>+G21-G20</f>
        <v>6.9993548095226288E-6</v>
      </c>
    </row>
    <row r="21" spans="1:10" ht="18" customHeight="1">
      <c r="A21" s="28"/>
      <c r="B21" s="296"/>
      <c r="C21" s="176"/>
      <c r="G21" s="25">
        <v>2219685.83</v>
      </c>
      <c r="H21" s="351"/>
    </row>
    <row r="22" spans="1:10" ht="18" customHeight="1">
      <c r="A22" s="28"/>
      <c r="B22" s="296"/>
      <c r="C22" s="176"/>
      <c r="H22" s="351"/>
    </row>
    <row r="23" spans="1:10" ht="18" customHeight="1">
      <c r="A23" s="28"/>
      <c r="B23" s="296"/>
      <c r="C23" s="176"/>
      <c r="H23" s="351"/>
    </row>
    <row r="24" spans="1:10" ht="18" customHeight="1">
      <c r="A24" s="28"/>
      <c r="B24" s="308"/>
      <c r="C24" s="308"/>
      <c r="D24" s="308"/>
      <c r="E24" s="308"/>
      <c r="F24" s="41"/>
      <c r="G24" s="34"/>
      <c r="H24" s="351"/>
    </row>
    <row r="25" spans="1:10" ht="18" customHeight="1">
      <c r="A25" s="35"/>
      <c r="B25" s="35"/>
      <c r="C25" s="177"/>
      <c r="D25" s="28"/>
      <c r="E25" s="28"/>
      <c r="H25" s="351"/>
    </row>
    <row r="26" spans="1:10" ht="27" customHeight="1">
      <c r="A26" s="465" t="s">
        <v>42</v>
      </c>
      <c r="B26" s="480"/>
      <c r="C26" s="480"/>
      <c r="D26" s="480"/>
      <c r="E26" s="480"/>
      <c r="F26" s="480"/>
      <c r="G26" s="480"/>
      <c r="H26" s="351"/>
    </row>
    <row r="27" spans="1:10" ht="12" customHeight="1">
      <c r="A27" s="320"/>
      <c r="B27" s="321"/>
      <c r="C27" s="178"/>
      <c r="D27" s="321"/>
      <c r="E27" s="321"/>
      <c r="F27" s="321"/>
      <c r="G27" s="321"/>
      <c r="H27" s="350"/>
    </row>
    <row r="28" spans="1:10" ht="27" customHeight="1">
      <c r="A28" s="465" t="s">
        <v>10</v>
      </c>
      <c r="B28" s="465"/>
      <c r="C28" s="465"/>
      <c r="D28" s="465"/>
      <c r="E28" s="465"/>
      <c r="F28" s="465"/>
      <c r="G28" s="465"/>
      <c r="H28" s="350"/>
    </row>
    <row r="29" spans="1:10" ht="27" customHeight="1">
      <c r="A29" s="331"/>
      <c r="B29" s="331"/>
      <c r="C29" s="331"/>
      <c r="D29" s="331"/>
      <c r="E29" s="331"/>
      <c r="F29" s="331"/>
      <c r="G29" s="331"/>
      <c r="H29" s="350"/>
    </row>
    <row r="30" spans="1:10" ht="14.85" customHeight="1">
      <c r="A30" s="37"/>
      <c r="B30" s="37"/>
      <c r="C30" s="56"/>
      <c r="D30" s="37"/>
      <c r="E30" s="37"/>
      <c r="F30" s="38"/>
      <c r="H30" s="350"/>
    </row>
    <row r="31" spans="1:10" ht="18" customHeight="1">
      <c r="A31" s="42"/>
      <c r="B31" s="191" t="s">
        <v>11</v>
      </c>
      <c r="C31" s="192"/>
      <c r="D31" s="193"/>
      <c r="E31" s="309"/>
      <c r="F31" s="309" t="s">
        <v>0</v>
      </c>
      <c r="G31" s="310">
        <f>+F42</f>
        <v>673698.088552</v>
      </c>
      <c r="H31" s="350"/>
    </row>
    <row r="32" spans="1:10" ht="12.75" customHeight="1">
      <c r="A32" s="40"/>
      <c r="B32" s="41"/>
      <c r="C32" s="56"/>
      <c r="D32" s="37"/>
      <c r="E32" s="37"/>
      <c r="F32" s="37"/>
      <c r="G32" s="37"/>
      <c r="H32" s="350"/>
    </row>
    <row r="33" spans="1:8" ht="12.75" customHeight="1">
      <c r="A33" s="42" t="s">
        <v>12</v>
      </c>
      <c r="B33" s="43" t="s">
        <v>13</v>
      </c>
      <c r="C33" s="56"/>
      <c r="D33" s="37"/>
      <c r="E33" s="37"/>
      <c r="F33" s="37"/>
      <c r="G33" s="37"/>
      <c r="H33" s="350"/>
    </row>
    <row r="34" spans="1:8" ht="12.75" customHeight="1">
      <c r="A34" s="44"/>
      <c r="B34" s="36"/>
      <c r="C34" s="56"/>
      <c r="D34" s="37"/>
      <c r="E34" s="37"/>
      <c r="F34" s="37"/>
      <c r="G34" s="37"/>
      <c r="H34" s="350"/>
    </row>
    <row r="35" spans="1:8" ht="12.75" customHeight="1">
      <c r="A35" s="26"/>
      <c r="B35" s="43" t="s">
        <v>44</v>
      </c>
      <c r="C35" s="177"/>
      <c r="D35" s="36"/>
      <c r="E35" s="36"/>
      <c r="F35" s="36"/>
      <c r="H35" s="350"/>
    </row>
    <row r="36" spans="1:8" ht="12.75" customHeight="1">
      <c r="A36" s="26"/>
      <c r="B36" s="43"/>
      <c r="C36" s="177"/>
      <c r="D36" s="36"/>
      <c r="E36" s="36"/>
      <c r="F36" s="36"/>
      <c r="G36" s="37"/>
      <c r="H36" s="350"/>
    </row>
    <row r="37" spans="1:8" ht="12.75" customHeight="1">
      <c r="A37" s="44"/>
      <c r="B37" s="46" t="s">
        <v>45</v>
      </c>
      <c r="C37" s="46" t="s">
        <v>71</v>
      </c>
      <c r="D37" s="46" t="s">
        <v>25</v>
      </c>
      <c r="E37" s="46" t="s">
        <v>5</v>
      </c>
      <c r="F37" s="46" t="s">
        <v>4</v>
      </c>
      <c r="G37" s="37"/>
      <c r="H37" s="350"/>
    </row>
    <row r="38" spans="1:8" ht="12.75" customHeight="1">
      <c r="A38" s="44"/>
      <c r="B38" s="430" t="s">
        <v>307</v>
      </c>
      <c r="C38" s="61" t="s">
        <v>156</v>
      </c>
      <c r="D38" s="429">
        <v>64.400000000000006</v>
      </c>
      <c r="E38" s="429">
        <v>13.84</v>
      </c>
      <c r="F38" s="359">
        <f>+D38*E38</f>
        <v>891.29600000000005</v>
      </c>
      <c r="G38" s="37"/>
      <c r="H38" s="350"/>
    </row>
    <row r="39" spans="1:8" ht="12.75" customHeight="1">
      <c r="A39" s="44"/>
      <c r="B39" s="430" t="s">
        <v>295</v>
      </c>
      <c r="C39" s="61" t="s">
        <v>156</v>
      </c>
      <c r="D39" s="429">
        <v>18235.745800000001</v>
      </c>
      <c r="E39" s="429">
        <v>15.120000000000001</v>
      </c>
      <c r="F39" s="359">
        <f t="shared" ref="F39:F41" si="0">+D39*E39</f>
        <v>275724.47649600002</v>
      </c>
      <c r="G39" s="37"/>
      <c r="H39" s="350"/>
    </row>
    <row r="40" spans="1:8" ht="12.75" customHeight="1">
      <c r="A40" s="44"/>
      <c r="B40" s="430" t="s">
        <v>135</v>
      </c>
      <c r="C40" s="61" t="s">
        <v>156</v>
      </c>
      <c r="D40" s="429">
        <v>7294.7867999999999</v>
      </c>
      <c r="E40" s="429">
        <v>13.14</v>
      </c>
      <c r="F40" s="359">
        <f t="shared" si="0"/>
        <v>95853.498552000005</v>
      </c>
      <c r="G40" s="37"/>
      <c r="H40" s="350"/>
    </row>
    <row r="41" spans="1:8" ht="12.75" customHeight="1">
      <c r="A41" s="44"/>
      <c r="B41" s="430" t="s">
        <v>136</v>
      </c>
      <c r="C41" s="61" t="s">
        <v>156</v>
      </c>
      <c r="D41" s="429">
        <v>25441.623100000001</v>
      </c>
      <c r="E41" s="429">
        <v>11.84</v>
      </c>
      <c r="F41" s="359">
        <f t="shared" si="0"/>
        <v>301228.81750399998</v>
      </c>
      <c r="G41" s="37"/>
      <c r="H41" s="350"/>
    </row>
    <row r="42" spans="1:8" ht="12.75" customHeight="1">
      <c r="A42" s="26"/>
      <c r="B42" s="256" t="s">
        <v>3</v>
      </c>
      <c r="C42" s="354"/>
      <c r="D42" s="352"/>
      <c r="E42" s="353"/>
      <c r="F42" s="355">
        <f>SUM(F38:F41)</f>
        <v>673698.088552</v>
      </c>
      <c r="G42" s="291"/>
      <c r="H42" s="350"/>
    </row>
    <row r="43" spans="1:8" ht="12.75" customHeight="1">
      <c r="A43" s="26"/>
      <c r="B43" s="37"/>
      <c r="C43" s="56"/>
      <c r="D43" s="37"/>
      <c r="E43" s="37"/>
      <c r="F43" s="37"/>
      <c r="G43" s="37"/>
      <c r="H43" s="350"/>
    </row>
    <row r="44" spans="1:8" ht="12.75" hidden="1" customHeight="1">
      <c r="A44" s="26"/>
      <c r="B44" s="43" t="s">
        <v>16</v>
      </c>
      <c r="C44" s="56"/>
      <c r="D44" s="37"/>
      <c r="E44" s="37"/>
      <c r="F44" s="37"/>
      <c r="G44" s="37"/>
      <c r="H44" s="350"/>
    </row>
    <row r="45" spans="1:8" ht="12.75" hidden="1" customHeight="1">
      <c r="A45" s="26"/>
      <c r="B45" s="41"/>
      <c r="C45" s="56"/>
      <c r="D45" s="37"/>
      <c r="E45" s="37"/>
      <c r="F45" s="37"/>
      <c r="G45" s="37"/>
      <c r="H45" s="350"/>
    </row>
    <row r="46" spans="1:8" ht="13.5" hidden="1" customHeight="1">
      <c r="A46" s="42" t="s">
        <v>15</v>
      </c>
      <c r="B46" s="43" t="s">
        <v>44</v>
      </c>
      <c r="C46" s="177"/>
      <c r="D46" s="36"/>
      <c r="E46" s="36"/>
      <c r="F46" s="36"/>
      <c r="G46" s="36"/>
      <c r="H46" s="350"/>
    </row>
    <row r="47" spans="1:8" ht="13.5" hidden="1" customHeight="1">
      <c r="A47" s="26"/>
      <c r="B47" s="43"/>
      <c r="C47" s="177"/>
      <c r="D47" s="36"/>
      <c r="E47" s="36"/>
      <c r="F47" s="36"/>
      <c r="G47" s="37"/>
      <c r="H47" s="350"/>
    </row>
    <row r="48" spans="1:8" ht="13.5" hidden="1" customHeight="1">
      <c r="B48" s="46" t="s">
        <v>45</v>
      </c>
      <c r="C48" s="46" t="s">
        <v>71</v>
      </c>
      <c r="D48" s="46" t="s">
        <v>5</v>
      </c>
      <c r="E48" s="46" t="s">
        <v>25</v>
      </c>
      <c r="F48" s="46" t="s">
        <v>4</v>
      </c>
      <c r="G48" s="37"/>
      <c r="H48" s="350"/>
    </row>
    <row r="49" spans="1:8" ht="13.5" hidden="1" customHeight="1">
      <c r="A49" s="40"/>
      <c r="B49" s="2" t="e">
        <f>#REF!</f>
        <v>#REF!</v>
      </c>
      <c r="C49" s="7" t="s">
        <v>72</v>
      </c>
      <c r="D49" s="7"/>
      <c r="E49" s="7" t="e">
        <f>+#REF!</f>
        <v>#REF!</v>
      </c>
      <c r="F49" s="2" t="e">
        <f>+D49*E49</f>
        <v>#REF!</v>
      </c>
      <c r="G49" s="37"/>
      <c r="H49" s="350"/>
    </row>
    <row r="50" spans="1:8" ht="13.5" hidden="1" customHeight="1">
      <c r="A50" s="40"/>
      <c r="B50" s="2" t="e">
        <f>#REF!</f>
        <v>#REF!</v>
      </c>
      <c r="C50" s="7" t="s">
        <v>72</v>
      </c>
      <c r="D50" s="7"/>
      <c r="E50" s="7" t="e">
        <f>+#REF!</f>
        <v>#REF!</v>
      </c>
      <c r="F50" s="2" t="e">
        <f>+D50*E50</f>
        <v>#REF!</v>
      </c>
      <c r="G50" s="37"/>
      <c r="H50" s="350"/>
    </row>
    <row r="51" spans="1:8" ht="13.5" hidden="1" customHeight="1">
      <c r="A51" s="40"/>
      <c r="B51" s="2" t="e">
        <f>#REF!</f>
        <v>#REF!</v>
      </c>
      <c r="C51" s="7" t="s">
        <v>72</v>
      </c>
      <c r="D51" s="7"/>
      <c r="E51" s="7" t="e">
        <f>+#REF!</f>
        <v>#REF!</v>
      </c>
      <c r="F51" s="2" t="e">
        <f>+D51*E51</f>
        <v>#REF!</v>
      </c>
      <c r="G51" s="37"/>
      <c r="H51" s="350"/>
    </row>
    <row r="52" spans="1:8" ht="13.5" hidden="1" customHeight="1">
      <c r="A52" s="40"/>
      <c r="B52" s="471" t="s">
        <v>3</v>
      </c>
      <c r="C52" s="472"/>
      <c r="D52" s="472"/>
      <c r="E52" s="473"/>
      <c r="F52" s="3" t="e">
        <f>SUM(F49:F51)</f>
        <v>#REF!</v>
      </c>
      <c r="G52" s="37"/>
      <c r="H52" s="350"/>
    </row>
    <row r="53" spans="1:8" ht="13.5" hidden="1" customHeight="1">
      <c r="A53" s="40"/>
      <c r="B53" s="41"/>
      <c r="C53" s="56"/>
      <c r="D53" s="37"/>
      <c r="E53" s="37"/>
      <c r="F53" s="37"/>
      <c r="G53" s="37"/>
      <c r="H53" s="350"/>
    </row>
    <row r="54" spans="1:8" ht="13.5" hidden="1" customHeight="1">
      <c r="A54" s="40"/>
      <c r="B54" s="43" t="s">
        <v>18</v>
      </c>
      <c r="C54" s="56"/>
      <c r="D54" s="37"/>
      <c r="E54" s="37"/>
      <c r="F54" s="37"/>
      <c r="G54" s="37"/>
      <c r="H54" s="350"/>
    </row>
    <row r="55" spans="1:8" ht="13.5" hidden="1" customHeight="1">
      <c r="A55" s="26"/>
      <c r="B55" s="48"/>
      <c r="C55" s="56"/>
      <c r="D55" s="37"/>
      <c r="E55" s="37"/>
      <c r="F55" s="37"/>
      <c r="G55" s="37"/>
      <c r="H55" s="350"/>
    </row>
    <row r="56" spans="1:8" ht="13.5" hidden="1" customHeight="1">
      <c r="A56" s="47" t="s">
        <v>17</v>
      </c>
      <c r="B56" s="43" t="s">
        <v>44</v>
      </c>
      <c r="C56" s="177"/>
      <c r="D56" s="36"/>
      <c r="E56" s="36"/>
      <c r="F56" s="36"/>
      <c r="G56" s="37"/>
      <c r="H56" s="350"/>
    </row>
    <row r="57" spans="1:8" ht="13.5" hidden="1" customHeight="1">
      <c r="A57" s="26"/>
      <c r="B57" s="43"/>
      <c r="C57" s="177"/>
      <c r="D57" s="36"/>
      <c r="E57" s="36"/>
      <c r="F57" s="36"/>
      <c r="G57" s="37"/>
      <c r="H57" s="350"/>
    </row>
    <row r="58" spans="1:8" ht="13.5" hidden="1" customHeight="1">
      <c r="A58" s="40"/>
      <c r="B58" s="46" t="s">
        <v>45</v>
      </c>
      <c r="C58" s="46" t="s">
        <v>71</v>
      </c>
      <c r="D58" s="46" t="s">
        <v>5</v>
      </c>
      <c r="E58" s="46" t="s">
        <v>25</v>
      </c>
      <c r="F58" s="46" t="s">
        <v>4</v>
      </c>
      <c r="G58" s="37"/>
      <c r="H58" s="350"/>
    </row>
    <row r="59" spans="1:8" ht="13.5" hidden="1" customHeight="1">
      <c r="A59" s="40"/>
      <c r="B59" s="2" t="e">
        <f>#REF!</f>
        <v>#REF!</v>
      </c>
      <c r="C59" s="7" t="s">
        <v>72</v>
      </c>
      <c r="D59" s="7"/>
      <c r="E59" s="7" t="e">
        <f>+#REF!</f>
        <v>#REF!</v>
      </c>
      <c r="F59" s="2" t="e">
        <f>+D59*E59</f>
        <v>#REF!</v>
      </c>
      <c r="G59" s="37"/>
      <c r="H59" s="350"/>
    </row>
    <row r="60" spans="1:8" ht="13.5" hidden="1" customHeight="1">
      <c r="B60" s="2" t="e">
        <f>#REF!</f>
        <v>#REF!</v>
      </c>
      <c r="C60" s="7" t="s">
        <v>72</v>
      </c>
      <c r="D60" s="7"/>
      <c r="E60" s="7" t="e">
        <f>+#REF!</f>
        <v>#REF!</v>
      </c>
      <c r="F60" s="2" t="e">
        <f>+D60*E60</f>
        <v>#REF!</v>
      </c>
      <c r="G60" s="37"/>
      <c r="H60" s="350"/>
    </row>
    <row r="61" spans="1:8" ht="13.5" hidden="1" customHeight="1">
      <c r="A61" s="44"/>
      <c r="B61" s="2" t="e">
        <f>#REF!</f>
        <v>#REF!</v>
      </c>
      <c r="C61" s="7" t="s">
        <v>72</v>
      </c>
      <c r="D61" s="7"/>
      <c r="E61" s="7" t="e">
        <f>+#REF!</f>
        <v>#REF!</v>
      </c>
      <c r="F61" s="2" t="e">
        <f>+D61*E61</f>
        <v>#REF!</v>
      </c>
      <c r="G61" s="37"/>
      <c r="H61" s="350"/>
    </row>
    <row r="62" spans="1:8" ht="13.5" hidden="1" customHeight="1">
      <c r="A62" s="26"/>
      <c r="B62" s="471" t="s">
        <v>3</v>
      </c>
      <c r="C62" s="472"/>
      <c r="D62" s="472"/>
      <c r="E62" s="473"/>
      <c r="F62" s="3" t="e">
        <f>SUM(F59:F61)</f>
        <v>#REF!</v>
      </c>
      <c r="G62" s="37"/>
      <c r="H62" s="350"/>
    </row>
    <row r="63" spans="1:8" ht="13.5" hidden="1" customHeight="1">
      <c r="A63" s="26"/>
      <c r="B63" s="37"/>
      <c r="C63" s="56"/>
      <c r="D63" s="37"/>
      <c r="E63" s="37"/>
      <c r="F63" s="37"/>
      <c r="G63" s="37"/>
      <c r="H63" s="350"/>
    </row>
    <row r="64" spans="1:8" ht="13.5" hidden="1" customHeight="1">
      <c r="A64" s="26"/>
      <c r="B64" s="43"/>
      <c r="C64" s="56"/>
      <c r="D64" s="37"/>
      <c r="E64" s="37"/>
      <c r="F64" s="37"/>
      <c r="G64" s="37"/>
      <c r="H64" s="350"/>
    </row>
    <row r="65" spans="1:8" ht="13.5" hidden="1" customHeight="1">
      <c r="A65" s="28"/>
      <c r="B65" s="48"/>
      <c r="C65" s="56"/>
      <c r="D65" s="37"/>
      <c r="E65" s="37"/>
      <c r="F65" s="37"/>
      <c r="G65" s="37"/>
      <c r="H65" s="350"/>
    </row>
    <row r="66" spans="1:8" ht="13.5" hidden="1" customHeight="1">
      <c r="A66" s="28"/>
      <c r="B66" s="43" t="s">
        <v>20</v>
      </c>
      <c r="C66" s="56"/>
      <c r="E66" s="175"/>
      <c r="F66" s="175" t="s">
        <v>0</v>
      </c>
      <c r="G66" s="37"/>
      <c r="H66" s="350"/>
    </row>
    <row r="67" spans="1:8" ht="12.75" hidden="1" customHeight="1">
      <c r="A67" s="28"/>
      <c r="B67" s="196"/>
      <c r="C67" s="197"/>
      <c r="D67" s="198" t="s">
        <v>1</v>
      </c>
      <c r="E67" s="198"/>
      <c r="F67" s="198"/>
      <c r="G67" s="198"/>
      <c r="H67" s="350"/>
    </row>
    <row r="68" spans="1:8" ht="13.5" hidden="1" customHeight="1">
      <c r="A68" s="42" t="s">
        <v>19</v>
      </c>
      <c r="B68" s="43" t="s">
        <v>48</v>
      </c>
      <c r="C68" s="56"/>
      <c r="D68" s="37"/>
      <c r="E68" s="37"/>
      <c r="F68" s="37"/>
      <c r="G68" s="41" t="e">
        <f>+F76+F87</f>
        <v>#REF!</v>
      </c>
      <c r="H68" s="350"/>
    </row>
    <row r="69" spans="1:8" ht="13.5" hidden="1" customHeight="1">
      <c r="A69" s="40"/>
      <c r="B69" s="43"/>
      <c r="C69" s="56"/>
      <c r="D69" s="37"/>
      <c r="E69" s="37"/>
      <c r="F69" s="37"/>
      <c r="G69" s="37"/>
      <c r="H69" s="350"/>
    </row>
    <row r="70" spans="1:8" ht="13.5" hidden="1" customHeight="1">
      <c r="A70" s="42" t="s">
        <v>12</v>
      </c>
      <c r="B70" s="43" t="s">
        <v>44</v>
      </c>
      <c r="C70" s="177"/>
      <c r="D70" s="36"/>
      <c r="E70" s="36"/>
      <c r="F70" s="37"/>
      <c r="G70" s="37"/>
      <c r="H70" s="350"/>
    </row>
    <row r="71" spans="1:8" ht="13.5" hidden="1" customHeight="1">
      <c r="A71" s="26"/>
      <c r="B71" s="43"/>
      <c r="C71" s="177"/>
      <c r="D71" s="36"/>
      <c r="E71" s="36"/>
      <c r="F71" s="37"/>
      <c r="G71" s="37"/>
      <c r="H71" s="350"/>
    </row>
    <row r="72" spans="1:8" ht="13.5" hidden="1" customHeight="1">
      <c r="A72" s="47"/>
      <c r="B72" s="46" t="s">
        <v>45</v>
      </c>
      <c r="C72" s="46" t="s">
        <v>71</v>
      </c>
      <c r="D72" s="46" t="s">
        <v>5</v>
      </c>
      <c r="E72" s="46" t="s">
        <v>25</v>
      </c>
      <c r="F72" s="46" t="s">
        <v>4</v>
      </c>
      <c r="G72" s="37"/>
      <c r="H72" s="350"/>
    </row>
    <row r="73" spans="1:8" ht="13.5" hidden="1" customHeight="1">
      <c r="A73" s="44"/>
      <c r="B73" s="2" t="e">
        <f>#REF!</f>
        <v>#REF!</v>
      </c>
      <c r="C73" s="7" t="s">
        <v>72</v>
      </c>
      <c r="D73" s="7"/>
      <c r="E73" s="7" t="e">
        <f>+#REF!</f>
        <v>#REF!</v>
      </c>
      <c r="F73" s="2" t="e">
        <f>+D73*E73</f>
        <v>#REF!</v>
      </c>
      <c r="G73" s="37"/>
      <c r="H73" s="350"/>
    </row>
    <row r="74" spans="1:8" ht="12.75" hidden="1" customHeight="1">
      <c r="B74" s="2" t="e">
        <f>#REF!</f>
        <v>#REF!</v>
      </c>
      <c r="C74" s="7" t="s">
        <v>72</v>
      </c>
      <c r="D74" s="7"/>
      <c r="E74" s="7" t="e">
        <f>+#REF!</f>
        <v>#REF!</v>
      </c>
      <c r="F74" s="2" t="e">
        <f>+D74*E74</f>
        <v>#REF!</v>
      </c>
      <c r="H74" s="350"/>
    </row>
    <row r="75" spans="1:8" ht="13.5" hidden="1" customHeight="1">
      <c r="B75" s="2" t="e">
        <f>#REF!</f>
        <v>#REF!</v>
      </c>
      <c r="C75" s="7" t="s">
        <v>72</v>
      </c>
      <c r="D75" s="7"/>
      <c r="E75" s="7" t="e">
        <f>+#REF!</f>
        <v>#REF!</v>
      </c>
      <c r="F75" s="2" t="e">
        <f>+D75*E75</f>
        <v>#REF!</v>
      </c>
      <c r="G75" s="37"/>
      <c r="H75" s="350"/>
    </row>
    <row r="76" spans="1:8" ht="13.5" hidden="1" customHeight="1">
      <c r="B76" s="471" t="s">
        <v>3</v>
      </c>
      <c r="C76" s="472"/>
      <c r="D76" s="472"/>
      <c r="E76" s="473"/>
      <c r="F76" s="3" t="e">
        <f>SUM(F73:F75)</f>
        <v>#REF!</v>
      </c>
      <c r="G76" s="37"/>
      <c r="H76" s="350"/>
    </row>
    <row r="77" spans="1:8" ht="13.5" hidden="1" customHeight="1">
      <c r="A77" s="42"/>
      <c r="B77" s="56"/>
      <c r="C77" s="56"/>
      <c r="D77" s="56"/>
      <c r="E77" s="37"/>
      <c r="F77" s="37"/>
      <c r="G77" s="37"/>
      <c r="H77" s="350"/>
    </row>
    <row r="78" spans="1:8" ht="13.5" hidden="1" customHeight="1">
      <c r="A78" s="44"/>
      <c r="B78" s="56"/>
      <c r="C78" s="56"/>
      <c r="D78" s="56"/>
      <c r="E78" s="37"/>
      <c r="F78" s="37"/>
      <c r="G78" s="37"/>
      <c r="H78" s="350"/>
    </row>
    <row r="79" spans="1:8" ht="13.5" hidden="1" customHeight="1">
      <c r="A79" s="44"/>
      <c r="B79" s="43" t="s">
        <v>85</v>
      </c>
      <c r="C79" s="56"/>
      <c r="D79" s="37"/>
      <c r="E79" s="37"/>
      <c r="F79" s="37"/>
      <c r="G79" s="37"/>
      <c r="H79" s="350"/>
    </row>
    <row r="80" spans="1:8" ht="13.5" hidden="1" customHeight="1">
      <c r="A80" s="26"/>
      <c r="B80" s="43"/>
      <c r="C80" s="56"/>
      <c r="D80" s="37"/>
      <c r="E80" s="37"/>
      <c r="F80" s="37"/>
      <c r="G80" s="37"/>
      <c r="H80" s="350"/>
    </row>
    <row r="81" spans="1:8" ht="13.5" hidden="1" customHeight="1">
      <c r="A81" s="47" t="s">
        <v>17</v>
      </c>
      <c r="B81" s="43" t="s">
        <v>44</v>
      </c>
      <c r="C81" s="177"/>
      <c r="D81" s="36"/>
      <c r="E81" s="36"/>
      <c r="F81" s="37"/>
      <c r="G81" s="37"/>
      <c r="H81" s="350"/>
    </row>
    <row r="82" spans="1:8" ht="13.5" hidden="1" customHeight="1">
      <c r="A82" s="26"/>
      <c r="B82" s="43"/>
      <c r="C82" s="177"/>
      <c r="D82" s="36"/>
      <c r="E82" s="36"/>
      <c r="F82" s="37"/>
      <c r="G82" s="37"/>
      <c r="H82" s="350"/>
    </row>
    <row r="83" spans="1:8" ht="13.5" hidden="1" customHeight="1">
      <c r="A83" s="26"/>
      <c r="B83" s="46" t="s">
        <v>45</v>
      </c>
      <c r="C83" s="46" t="s">
        <v>71</v>
      </c>
      <c r="D83" s="46" t="s">
        <v>5</v>
      </c>
      <c r="E83" s="46" t="s">
        <v>25</v>
      </c>
      <c r="F83" s="46" t="s">
        <v>4</v>
      </c>
      <c r="G83" s="37"/>
      <c r="H83" s="350"/>
    </row>
    <row r="84" spans="1:8" ht="13.5" hidden="1" customHeight="1">
      <c r="A84" s="26"/>
      <c r="B84" s="2" t="e">
        <f>#REF!</f>
        <v>#REF!</v>
      </c>
      <c r="C84" s="7" t="s">
        <v>72</v>
      </c>
      <c r="D84" s="7"/>
      <c r="E84" s="7" t="e">
        <f>+#REF!</f>
        <v>#REF!</v>
      </c>
      <c r="F84" s="2" t="e">
        <f>+D84*E84</f>
        <v>#REF!</v>
      </c>
      <c r="G84" s="37"/>
      <c r="H84" s="350"/>
    </row>
    <row r="85" spans="1:8" ht="13.5" hidden="1" customHeight="1">
      <c r="A85" s="26"/>
      <c r="B85" s="2" t="e">
        <f>#REF!</f>
        <v>#REF!</v>
      </c>
      <c r="C85" s="7" t="s">
        <v>72</v>
      </c>
      <c r="D85" s="7"/>
      <c r="E85" s="7" t="e">
        <f>+#REF!</f>
        <v>#REF!</v>
      </c>
      <c r="F85" s="2" t="e">
        <f>+D85*E85</f>
        <v>#REF!</v>
      </c>
      <c r="G85" s="37"/>
      <c r="H85" s="350"/>
    </row>
    <row r="86" spans="1:8" ht="13.5" hidden="1" customHeight="1">
      <c r="A86" s="26"/>
      <c r="B86" s="2" t="e">
        <f>#REF!</f>
        <v>#REF!</v>
      </c>
      <c r="C86" s="7" t="s">
        <v>72</v>
      </c>
      <c r="D86" s="7"/>
      <c r="E86" s="7" t="e">
        <f>+#REF!</f>
        <v>#REF!</v>
      </c>
      <c r="F86" s="2" t="e">
        <f>+D86*E86</f>
        <v>#REF!</v>
      </c>
      <c r="G86" s="37"/>
      <c r="H86" s="350"/>
    </row>
    <row r="87" spans="1:8" ht="13.5" hidden="1" customHeight="1">
      <c r="A87" s="26"/>
      <c r="B87" s="471" t="s">
        <v>3</v>
      </c>
      <c r="C87" s="472"/>
      <c r="D87" s="472"/>
      <c r="E87" s="473"/>
      <c r="F87" s="3" t="e">
        <f>SUM(F84:F86)</f>
        <v>#REF!</v>
      </c>
      <c r="G87" s="37"/>
      <c r="H87" s="350"/>
    </row>
    <row r="88" spans="1:8" ht="13.5" hidden="1" customHeight="1">
      <c r="A88" s="26"/>
      <c r="B88" s="56"/>
      <c r="C88" s="56"/>
      <c r="D88" s="56"/>
      <c r="E88" s="37"/>
      <c r="F88" s="37"/>
      <c r="G88" s="37"/>
      <c r="H88" s="350"/>
    </row>
    <row r="89" spans="1:8" ht="13.5" hidden="1" customHeight="1">
      <c r="B89" s="43" t="s">
        <v>22</v>
      </c>
      <c r="C89" s="56"/>
      <c r="D89" s="36"/>
      <c r="E89" s="175"/>
      <c r="F89" s="175" t="s">
        <v>0</v>
      </c>
      <c r="G89" s="37"/>
      <c r="H89" s="350"/>
    </row>
    <row r="90" spans="1:8" ht="13.5" hidden="1" customHeight="1">
      <c r="A90" s="42"/>
      <c r="B90" s="43"/>
      <c r="C90" s="56"/>
      <c r="D90" s="37"/>
      <c r="E90" s="37"/>
      <c r="F90" s="37"/>
      <c r="G90" s="37"/>
      <c r="H90" s="350"/>
    </row>
    <row r="91" spans="1:8" ht="13.5" hidden="1" customHeight="1">
      <c r="A91" s="42" t="s">
        <v>21</v>
      </c>
      <c r="B91" s="43" t="s">
        <v>50</v>
      </c>
      <c r="C91" s="56"/>
      <c r="D91" s="37"/>
      <c r="E91" s="37"/>
      <c r="F91" s="37"/>
      <c r="G91" s="41" t="e">
        <f>+F99</f>
        <v>#REF!</v>
      </c>
      <c r="H91" s="350"/>
    </row>
    <row r="92" spans="1:8" ht="13.5" hidden="1" customHeight="1">
      <c r="A92" s="42"/>
      <c r="B92" s="48"/>
      <c r="C92" s="56"/>
      <c r="D92" s="37"/>
      <c r="E92" s="37"/>
      <c r="F92" s="37"/>
      <c r="G92" s="37"/>
      <c r="H92" s="350"/>
    </row>
    <row r="93" spans="1:8" ht="13.5" hidden="1" customHeight="1">
      <c r="A93" s="47" t="s">
        <v>12</v>
      </c>
      <c r="B93" s="43" t="s">
        <v>44</v>
      </c>
      <c r="C93" s="177"/>
      <c r="D93" s="36"/>
      <c r="E93" s="36"/>
      <c r="F93" s="36"/>
      <c r="G93" s="37"/>
      <c r="H93" s="350"/>
    </row>
    <row r="94" spans="1:8" ht="13.5" hidden="1" customHeight="1">
      <c r="A94" s="26"/>
      <c r="B94" s="43"/>
      <c r="C94" s="177"/>
      <c r="D94" s="36"/>
      <c r="E94" s="36"/>
      <c r="F94" s="36"/>
      <c r="G94" s="37"/>
      <c r="H94" s="350"/>
    </row>
    <row r="95" spans="1:8" ht="13.5" hidden="1" customHeight="1">
      <c r="A95" s="26"/>
      <c r="B95" s="46" t="s">
        <v>45</v>
      </c>
      <c r="C95" s="46" t="s">
        <v>71</v>
      </c>
      <c r="D95" s="46" t="s">
        <v>5</v>
      </c>
      <c r="E95" s="46" t="s">
        <v>25</v>
      </c>
      <c r="F95" s="46" t="s">
        <v>4</v>
      </c>
      <c r="G95" s="37"/>
      <c r="H95" s="350"/>
    </row>
    <row r="96" spans="1:8" ht="13.5" hidden="1" customHeight="1">
      <c r="A96" s="26"/>
      <c r="B96" s="2" t="e">
        <f>#REF!</f>
        <v>#REF!</v>
      </c>
      <c r="C96" s="7" t="s">
        <v>72</v>
      </c>
      <c r="D96" s="7"/>
      <c r="E96" s="7" t="e">
        <f>+#REF!</f>
        <v>#REF!</v>
      </c>
      <c r="F96" s="2" t="e">
        <f>+D96*E96</f>
        <v>#REF!</v>
      </c>
      <c r="G96" s="37"/>
      <c r="H96" s="350"/>
    </row>
    <row r="97" spans="1:8" ht="13.5" hidden="1" customHeight="1">
      <c r="A97" s="26"/>
      <c r="B97" s="2" t="e">
        <f>#REF!</f>
        <v>#REF!</v>
      </c>
      <c r="C97" s="7" t="s">
        <v>72</v>
      </c>
      <c r="D97" s="7"/>
      <c r="E97" s="7" t="e">
        <f>+#REF!</f>
        <v>#REF!</v>
      </c>
      <c r="F97" s="2" t="e">
        <f>+D97*E97</f>
        <v>#REF!</v>
      </c>
      <c r="G97" s="37"/>
      <c r="H97" s="350"/>
    </row>
    <row r="98" spans="1:8" ht="13.5" hidden="1" customHeight="1">
      <c r="A98" s="26"/>
      <c r="B98" s="2" t="e">
        <f>#REF!</f>
        <v>#REF!</v>
      </c>
      <c r="C98" s="7" t="s">
        <v>72</v>
      </c>
      <c r="D98" s="7"/>
      <c r="E98" s="7" t="e">
        <f>+#REF!</f>
        <v>#REF!</v>
      </c>
      <c r="F98" s="2" t="e">
        <f>+D98*E98</f>
        <v>#REF!</v>
      </c>
      <c r="G98" s="37"/>
      <c r="H98" s="350"/>
    </row>
    <row r="99" spans="1:8" ht="13.5" hidden="1" customHeight="1">
      <c r="A99" s="26"/>
      <c r="B99" s="471" t="s">
        <v>3</v>
      </c>
      <c r="C99" s="472"/>
      <c r="D99" s="472"/>
      <c r="E99" s="473"/>
      <c r="F99" s="3" t="e">
        <f>SUM(F96:F98)</f>
        <v>#REF!</v>
      </c>
      <c r="G99" s="37"/>
      <c r="H99" s="350"/>
    </row>
    <row r="100" spans="1:8" ht="13.5" hidden="1" customHeight="1">
      <c r="A100" s="26"/>
      <c r="B100" s="43"/>
      <c r="C100" s="56"/>
      <c r="D100" s="37"/>
      <c r="E100" s="37"/>
      <c r="F100" s="37"/>
      <c r="G100" s="37"/>
      <c r="H100" s="350"/>
    </row>
    <row r="101" spans="1:8" ht="12.75" hidden="1" customHeight="1">
      <c r="B101" s="43" t="s">
        <v>110</v>
      </c>
      <c r="C101" s="56"/>
      <c r="D101" s="36"/>
      <c r="E101" s="175"/>
      <c r="F101" s="175" t="s">
        <v>0</v>
      </c>
      <c r="G101" s="37"/>
      <c r="H101" s="350"/>
    </row>
    <row r="102" spans="1:8" ht="13.5" hidden="1" customHeight="1">
      <c r="B102" s="43"/>
      <c r="C102" s="56"/>
      <c r="D102" s="37"/>
      <c r="E102" s="37"/>
      <c r="F102" s="37"/>
      <c r="G102" s="37"/>
      <c r="H102" s="350"/>
    </row>
    <row r="103" spans="1:8" ht="13.5" hidden="1" customHeight="1">
      <c r="A103" s="42" t="s">
        <v>109</v>
      </c>
      <c r="B103" s="43" t="s">
        <v>51</v>
      </c>
      <c r="C103" s="177"/>
      <c r="D103" s="36"/>
      <c r="E103" s="36"/>
      <c r="F103" s="36"/>
      <c r="G103" s="41" t="e">
        <f>+F111+F121+F131</f>
        <v>#REF!</v>
      </c>
      <c r="H103" s="350"/>
    </row>
    <row r="104" spans="1:8" ht="13.5" hidden="1" customHeight="1">
      <c r="A104" s="42"/>
      <c r="B104" s="43"/>
      <c r="C104" s="177"/>
      <c r="D104" s="36"/>
      <c r="E104" s="36"/>
      <c r="F104" s="36"/>
      <c r="G104" s="37"/>
      <c r="H104" s="350"/>
    </row>
    <row r="105" spans="1:8" ht="13.5" hidden="1" customHeight="1">
      <c r="A105" s="47" t="s">
        <v>12</v>
      </c>
      <c r="B105" s="43" t="s">
        <v>44</v>
      </c>
      <c r="C105" s="177"/>
      <c r="D105" s="36"/>
      <c r="E105" s="36"/>
      <c r="F105" s="36"/>
      <c r="G105" s="37"/>
      <c r="H105" s="350"/>
    </row>
    <row r="106" spans="1:8" ht="13.5" hidden="1" customHeight="1">
      <c r="A106" s="26"/>
      <c r="B106" s="43"/>
      <c r="C106" s="177"/>
      <c r="D106" s="36"/>
      <c r="E106" s="36"/>
      <c r="F106" s="36"/>
      <c r="G106" s="37"/>
      <c r="H106" s="350"/>
    </row>
    <row r="107" spans="1:8" ht="13.5" hidden="1" customHeight="1">
      <c r="A107" s="28"/>
      <c r="B107" s="46" t="s">
        <v>45</v>
      </c>
      <c r="C107" s="46" t="s">
        <v>71</v>
      </c>
      <c r="D107" s="46" t="s">
        <v>5</v>
      </c>
      <c r="E107" s="46" t="s">
        <v>25</v>
      </c>
      <c r="F107" s="46" t="s">
        <v>4</v>
      </c>
      <c r="G107" s="37"/>
      <c r="H107" s="350"/>
    </row>
    <row r="108" spans="1:8" ht="13.5" hidden="1" customHeight="1">
      <c r="A108" s="28"/>
      <c r="B108" s="2" t="e">
        <f>#REF!</f>
        <v>#REF!</v>
      </c>
      <c r="C108" s="7" t="s">
        <v>72</v>
      </c>
      <c r="D108" s="7"/>
      <c r="E108" s="7" t="e">
        <f>+#REF!</f>
        <v>#REF!</v>
      </c>
      <c r="F108" s="2" t="e">
        <f>+D108*E108</f>
        <v>#REF!</v>
      </c>
      <c r="G108" s="37"/>
      <c r="H108" s="351"/>
    </row>
    <row r="109" spans="1:8" ht="13.5" hidden="1" customHeight="1">
      <c r="A109" s="28"/>
      <c r="B109" s="2" t="e">
        <f>#REF!</f>
        <v>#REF!</v>
      </c>
      <c r="C109" s="7" t="s">
        <v>72</v>
      </c>
      <c r="D109" s="7"/>
      <c r="E109" s="7" t="e">
        <f>+#REF!</f>
        <v>#REF!</v>
      </c>
      <c r="F109" s="2" t="e">
        <f>+D109*E109</f>
        <v>#REF!</v>
      </c>
      <c r="G109" s="37"/>
      <c r="H109" s="351"/>
    </row>
    <row r="110" spans="1:8" ht="13.5" hidden="1" customHeight="1">
      <c r="A110" s="26"/>
      <c r="B110" s="2" t="e">
        <f>#REF!</f>
        <v>#REF!</v>
      </c>
      <c r="C110" s="7" t="s">
        <v>72</v>
      </c>
      <c r="D110" s="7"/>
      <c r="E110" s="7" t="e">
        <f>+#REF!</f>
        <v>#REF!</v>
      </c>
      <c r="F110" s="2" t="e">
        <f>+D110*E110</f>
        <v>#REF!</v>
      </c>
      <c r="G110" s="37"/>
      <c r="H110" s="351"/>
    </row>
    <row r="111" spans="1:8" ht="13.5" hidden="1" customHeight="1">
      <c r="A111" s="26"/>
      <c r="B111" s="471" t="s">
        <v>3</v>
      </c>
      <c r="C111" s="472"/>
      <c r="D111" s="472"/>
      <c r="E111" s="473"/>
      <c r="F111" s="3" t="e">
        <f>SUM(F108:F110)</f>
        <v>#REF!</v>
      </c>
      <c r="G111" s="37"/>
      <c r="H111" s="350"/>
    </row>
    <row r="112" spans="1:8" ht="13.5" hidden="1" customHeight="1">
      <c r="A112" s="26"/>
      <c r="B112" s="37"/>
      <c r="C112" s="56"/>
      <c r="D112" s="37"/>
      <c r="E112" s="37"/>
      <c r="F112" s="37"/>
      <c r="G112" s="37"/>
      <c r="H112" s="350"/>
    </row>
    <row r="113" spans="1:8" ht="13.5" hidden="1" customHeight="1">
      <c r="B113" s="43" t="s">
        <v>52</v>
      </c>
      <c r="C113" s="56"/>
      <c r="D113" s="37"/>
      <c r="E113" s="37"/>
      <c r="F113" s="37"/>
      <c r="H113" s="350"/>
    </row>
    <row r="114" spans="1:8" ht="13.5" hidden="1" customHeight="1">
      <c r="B114" s="43"/>
      <c r="C114" s="56"/>
      <c r="D114" s="37"/>
      <c r="E114" s="37"/>
      <c r="F114" s="37"/>
      <c r="G114" s="37"/>
      <c r="H114" s="350"/>
    </row>
    <row r="115" spans="1:8" ht="13.5" hidden="1" customHeight="1">
      <c r="A115" s="47" t="s">
        <v>15</v>
      </c>
      <c r="B115" s="43" t="s">
        <v>44</v>
      </c>
      <c r="C115" s="177"/>
      <c r="D115" s="36"/>
      <c r="E115" s="36"/>
      <c r="F115" s="36"/>
      <c r="G115" s="37"/>
      <c r="H115" s="350"/>
    </row>
    <row r="116" spans="1:8" ht="13.5" hidden="1" customHeight="1">
      <c r="A116" s="47"/>
      <c r="B116" s="43"/>
      <c r="C116" s="177"/>
      <c r="D116" s="36"/>
      <c r="E116" s="36"/>
      <c r="F116" s="36"/>
      <c r="G116" s="37"/>
      <c r="H116" s="350"/>
    </row>
    <row r="117" spans="1:8" ht="13.5" hidden="1" customHeight="1">
      <c r="A117" s="47"/>
      <c r="B117" s="46" t="s">
        <v>45</v>
      </c>
      <c r="C117" s="46" t="s">
        <v>71</v>
      </c>
      <c r="D117" s="46" t="s">
        <v>5</v>
      </c>
      <c r="E117" s="46" t="s">
        <v>25</v>
      </c>
      <c r="F117" s="46" t="s">
        <v>4</v>
      </c>
      <c r="G117" s="37"/>
      <c r="H117" s="350"/>
    </row>
    <row r="118" spans="1:8" ht="13.5" hidden="1" customHeight="1">
      <c r="A118" s="26"/>
      <c r="B118" s="2" t="e">
        <f>#REF!</f>
        <v>#REF!</v>
      </c>
      <c r="C118" s="7" t="s">
        <v>72</v>
      </c>
      <c r="D118" s="7"/>
      <c r="E118" s="7" t="e">
        <f>+#REF!</f>
        <v>#REF!</v>
      </c>
      <c r="F118" s="2" t="e">
        <f>+D118*E118</f>
        <v>#REF!</v>
      </c>
      <c r="G118" s="37"/>
      <c r="H118" s="350"/>
    </row>
    <row r="119" spans="1:8" ht="13.5" hidden="1" customHeight="1">
      <c r="A119" s="26"/>
      <c r="B119" s="2" t="e">
        <f>#REF!</f>
        <v>#REF!</v>
      </c>
      <c r="C119" s="7" t="s">
        <v>72</v>
      </c>
      <c r="D119" s="7"/>
      <c r="E119" s="7" t="e">
        <f>+#REF!</f>
        <v>#REF!</v>
      </c>
      <c r="F119" s="2" t="e">
        <f>+D119*E119</f>
        <v>#REF!</v>
      </c>
      <c r="G119" s="37"/>
      <c r="H119" s="350"/>
    </row>
    <row r="120" spans="1:8" ht="13.5" hidden="1" customHeight="1">
      <c r="A120" s="26"/>
      <c r="B120" s="2" t="e">
        <f>#REF!</f>
        <v>#REF!</v>
      </c>
      <c r="C120" s="7" t="s">
        <v>72</v>
      </c>
      <c r="D120" s="7"/>
      <c r="E120" s="7" t="e">
        <f>+#REF!</f>
        <v>#REF!</v>
      </c>
      <c r="F120" s="2" t="e">
        <f>+D120*E120</f>
        <v>#REF!</v>
      </c>
      <c r="G120" s="37"/>
      <c r="H120" s="350"/>
    </row>
    <row r="121" spans="1:8" ht="13.5" hidden="1" customHeight="1">
      <c r="A121" s="26"/>
      <c r="B121" s="471" t="s">
        <v>3</v>
      </c>
      <c r="C121" s="472"/>
      <c r="D121" s="472"/>
      <c r="E121" s="473"/>
      <c r="F121" s="3" t="e">
        <f>SUM(F118:F120)</f>
        <v>#REF!</v>
      </c>
      <c r="G121" s="37"/>
      <c r="H121" s="350"/>
    </row>
    <row r="122" spans="1:8" ht="13.5" hidden="1" customHeight="1">
      <c r="A122" s="26"/>
      <c r="B122" s="177"/>
      <c r="C122" s="56"/>
      <c r="D122" s="56"/>
      <c r="E122" s="56"/>
      <c r="F122" s="37"/>
      <c r="G122" s="37"/>
      <c r="H122" s="350"/>
    </row>
    <row r="123" spans="1:8" ht="13.5" hidden="1" customHeight="1">
      <c r="A123" s="26"/>
      <c r="B123" s="43" t="s">
        <v>124</v>
      </c>
      <c r="C123" s="56"/>
      <c r="D123" s="37"/>
      <c r="E123" s="37"/>
      <c r="F123" s="37"/>
      <c r="G123" s="37"/>
      <c r="H123" s="350"/>
    </row>
    <row r="124" spans="1:8" ht="13.5" hidden="1" customHeight="1">
      <c r="A124" s="28"/>
      <c r="B124" s="43"/>
      <c r="C124" s="56"/>
      <c r="D124" s="37"/>
      <c r="E124" s="37"/>
      <c r="F124" s="37"/>
      <c r="G124" s="37"/>
      <c r="H124" s="350"/>
    </row>
    <row r="125" spans="1:8" ht="13.5" hidden="1" customHeight="1">
      <c r="A125" s="47" t="s">
        <v>17</v>
      </c>
      <c r="B125" s="43" t="s">
        <v>44</v>
      </c>
      <c r="C125" s="177"/>
      <c r="D125" s="36"/>
      <c r="E125" s="36"/>
      <c r="F125" s="36"/>
      <c r="G125" s="37"/>
      <c r="H125" s="350"/>
    </row>
    <row r="126" spans="1:8" ht="13.5" hidden="1" customHeight="1">
      <c r="B126" s="43"/>
      <c r="C126" s="177"/>
      <c r="D126" s="36"/>
      <c r="E126" s="36"/>
      <c r="F126" s="36"/>
      <c r="G126" s="37"/>
      <c r="H126" s="350"/>
    </row>
    <row r="127" spans="1:8" ht="13.5" hidden="1" customHeight="1">
      <c r="A127" s="42"/>
      <c r="B127" s="46" t="s">
        <v>45</v>
      </c>
      <c r="C127" s="46" t="s">
        <v>71</v>
      </c>
      <c r="D127" s="46" t="s">
        <v>5</v>
      </c>
      <c r="E127" s="46" t="s">
        <v>25</v>
      </c>
      <c r="F127" s="46" t="s">
        <v>4</v>
      </c>
      <c r="G127" s="37"/>
      <c r="H127" s="350"/>
    </row>
    <row r="128" spans="1:8" ht="13.5" hidden="1" customHeight="1">
      <c r="A128" s="44"/>
      <c r="B128" s="2" t="e">
        <f>#REF!</f>
        <v>#REF!</v>
      </c>
      <c r="C128" s="7" t="s">
        <v>72</v>
      </c>
      <c r="D128" s="7"/>
      <c r="E128" s="7" t="e">
        <f>+#REF!</f>
        <v>#REF!</v>
      </c>
      <c r="F128" s="2" t="e">
        <f>+D128*E128</f>
        <v>#REF!</v>
      </c>
      <c r="G128" s="37"/>
      <c r="H128" s="350"/>
    </row>
    <row r="129" spans="1:8" ht="13.5" hidden="1" customHeight="1">
      <c r="A129" s="44"/>
      <c r="B129" s="2" t="e">
        <f>#REF!</f>
        <v>#REF!</v>
      </c>
      <c r="C129" s="7" t="s">
        <v>72</v>
      </c>
      <c r="D129" s="7"/>
      <c r="E129" s="7" t="e">
        <f>+#REF!</f>
        <v>#REF!</v>
      </c>
      <c r="F129" s="2" t="e">
        <f>+D129*E129</f>
        <v>#REF!</v>
      </c>
      <c r="G129" s="37"/>
      <c r="H129" s="350"/>
    </row>
    <row r="130" spans="1:8" ht="13.5" hidden="1" customHeight="1">
      <c r="A130" s="26"/>
      <c r="B130" s="2" t="e">
        <f>#REF!</f>
        <v>#REF!</v>
      </c>
      <c r="C130" s="7" t="s">
        <v>72</v>
      </c>
      <c r="D130" s="7"/>
      <c r="E130" s="7" t="e">
        <f>+#REF!</f>
        <v>#REF!</v>
      </c>
      <c r="F130" s="2" t="e">
        <f>+D130*E130</f>
        <v>#REF!</v>
      </c>
      <c r="G130" s="37"/>
      <c r="H130" s="350"/>
    </row>
    <row r="131" spans="1:8" ht="13.5" hidden="1" customHeight="1">
      <c r="A131" s="26"/>
      <c r="B131" s="471" t="s">
        <v>3</v>
      </c>
      <c r="C131" s="472"/>
      <c r="D131" s="472"/>
      <c r="E131" s="473"/>
      <c r="F131" s="3" t="e">
        <f>SUM(F128:F130)</f>
        <v>#REF!</v>
      </c>
      <c r="G131" s="37"/>
      <c r="H131" s="350"/>
    </row>
    <row r="132" spans="1:8" ht="13.5" hidden="1" customHeight="1">
      <c r="A132" s="26"/>
      <c r="B132" s="37"/>
      <c r="C132" s="56"/>
      <c r="D132" s="37"/>
      <c r="E132" s="37"/>
      <c r="F132" s="37"/>
      <c r="G132" s="37"/>
      <c r="H132" s="350"/>
    </row>
    <row r="133" spans="1:8" ht="13.5" hidden="1" customHeight="1">
      <c r="A133" s="26"/>
      <c r="B133" s="49" t="s">
        <v>40</v>
      </c>
      <c r="C133" s="50"/>
      <c r="D133" s="38"/>
      <c r="E133" s="51"/>
      <c r="F133" s="175" t="s">
        <v>0</v>
      </c>
      <c r="G133" s="37"/>
      <c r="H133" s="350"/>
    </row>
    <row r="134" spans="1:8" ht="13.5" hidden="1" customHeight="1">
      <c r="A134" s="26"/>
      <c r="B134" s="49"/>
      <c r="C134" s="50"/>
      <c r="D134" s="38"/>
      <c r="E134" s="38"/>
      <c r="F134" s="51"/>
      <c r="G134" s="37"/>
      <c r="H134" s="350"/>
    </row>
    <row r="135" spans="1:8" ht="13.5" hidden="1" customHeight="1">
      <c r="A135" s="51" t="s">
        <v>39</v>
      </c>
      <c r="B135" s="46" t="s">
        <v>24</v>
      </c>
      <c r="C135" s="46" t="s">
        <v>2</v>
      </c>
      <c r="D135" s="46" t="s">
        <v>25</v>
      </c>
      <c r="E135" s="46" t="s">
        <v>5</v>
      </c>
      <c r="F135" s="46" t="s">
        <v>3</v>
      </c>
      <c r="G135" s="41">
        <f>+F140</f>
        <v>0</v>
      </c>
      <c r="H135" s="350"/>
    </row>
    <row r="136" spans="1:8" ht="13.5" hidden="1" customHeight="1">
      <c r="A136" s="26"/>
      <c r="B136" s="292" t="s">
        <v>86</v>
      </c>
      <c r="C136" s="7" t="s">
        <v>2</v>
      </c>
      <c r="D136" s="293">
        <v>0</v>
      </c>
      <c r="E136" s="293">
        <v>10</v>
      </c>
      <c r="F136" s="1">
        <f>+D136*E136</f>
        <v>0</v>
      </c>
      <c r="G136" s="37"/>
      <c r="H136" s="350"/>
    </row>
    <row r="137" spans="1:8" ht="13.5" hidden="1" customHeight="1">
      <c r="B137" s="292" t="s">
        <v>90</v>
      </c>
      <c r="C137" s="7" t="s">
        <v>8</v>
      </c>
      <c r="D137" s="294">
        <v>0</v>
      </c>
      <c r="E137" s="294">
        <v>5</v>
      </c>
      <c r="F137" s="2">
        <f>+D137*E137</f>
        <v>0</v>
      </c>
      <c r="G137" s="37"/>
      <c r="H137" s="350"/>
    </row>
    <row r="138" spans="1:8" ht="13.5" hidden="1" customHeight="1">
      <c r="A138" s="42"/>
      <c r="B138" s="292" t="s">
        <v>87</v>
      </c>
      <c r="C138" s="7" t="s">
        <v>8</v>
      </c>
      <c r="D138" s="294">
        <v>0</v>
      </c>
      <c r="E138" s="294">
        <v>6.5</v>
      </c>
      <c r="F138" s="2">
        <f>+D138*E138</f>
        <v>0</v>
      </c>
      <c r="G138" s="37"/>
      <c r="H138" s="350"/>
    </row>
    <row r="139" spans="1:8" ht="13.5" hidden="1" customHeight="1">
      <c r="A139" s="44"/>
      <c r="B139" s="292" t="s">
        <v>88</v>
      </c>
      <c r="C139" s="7" t="s">
        <v>8</v>
      </c>
      <c r="D139" s="295">
        <v>0</v>
      </c>
      <c r="E139" s="295">
        <v>17.5</v>
      </c>
      <c r="F139" s="2">
        <f>+D139*E139</f>
        <v>0</v>
      </c>
      <c r="G139" s="37"/>
      <c r="H139" s="351"/>
    </row>
    <row r="140" spans="1:8" ht="13.5" hidden="1" customHeight="1">
      <c r="A140" s="44"/>
      <c r="B140" s="467" t="s">
        <v>3</v>
      </c>
      <c r="C140" s="468"/>
      <c r="D140" s="468"/>
      <c r="E140" s="469"/>
      <c r="F140" s="3">
        <f>SUM(F136:F139)</f>
        <v>0</v>
      </c>
      <c r="G140" s="37"/>
      <c r="H140" s="351"/>
    </row>
    <row r="141" spans="1:8" ht="13.5" hidden="1" customHeight="1">
      <c r="A141" s="26"/>
      <c r="B141" s="56"/>
      <c r="C141" s="56"/>
      <c r="D141" s="56"/>
      <c r="E141" s="56"/>
      <c r="F141" s="37"/>
      <c r="G141" s="37"/>
      <c r="H141" s="351"/>
    </row>
    <row r="142" spans="1:8" ht="13.5" hidden="1" customHeight="1">
      <c r="A142" s="26"/>
      <c r="B142" s="49" t="s">
        <v>133</v>
      </c>
      <c r="C142" s="50"/>
      <c r="D142" s="38"/>
      <c r="E142" s="51"/>
      <c r="F142" s="175" t="s">
        <v>0</v>
      </c>
      <c r="G142" s="37"/>
      <c r="H142" s="350"/>
    </row>
    <row r="143" spans="1:8" ht="13.5" hidden="1" customHeight="1">
      <c r="A143" s="26"/>
      <c r="B143" s="49"/>
      <c r="C143" s="50"/>
      <c r="D143" s="38"/>
      <c r="E143" s="38"/>
      <c r="F143" s="51"/>
      <c r="G143" s="37"/>
      <c r="H143" s="350"/>
    </row>
    <row r="144" spans="1:8" ht="13.5" hidden="1" customHeight="1">
      <c r="A144" s="51" t="s">
        <v>23</v>
      </c>
      <c r="B144" s="46" t="s">
        <v>24</v>
      </c>
      <c r="C144" s="46" t="s">
        <v>2</v>
      </c>
      <c r="D144" s="46" t="s">
        <v>25</v>
      </c>
      <c r="E144" s="46" t="s">
        <v>5</v>
      </c>
      <c r="F144" s="45" t="s">
        <v>3</v>
      </c>
      <c r="G144" s="41">
        <f>+F152</f>
        <v>0</v>
      </c>
      <c r="H144" s="350"/>
    </row>
    <row r="145" spans="1:8" ht="13.5" hidden="1" customHeight="1">
      <c r="A145" s="51"/>
      <c r="B145" s="1" t="s">
        <v>26</v>
      </c>
      <c r="C145" s="4" t="s">
        <v>6</v>
      </c>
      <c r="D145" s="5">
        <v>0</v>
      </c>
      <c r="E145" s="6">
        <v>13</v>
      </c>
      <c r="F145" s="1">
        <f>+D145*E145</f>
        <v>0</v>
      </c>
      <c r="G145" s="37"/>
      <c r="H145" s="350"/>
    </row>
    <row r="146" spans="1:8" ht="13.5" hidden="1" customHeight="1">
      <c r="A146" s="51"/>
      <c r="B146" s="2" t="s">
        <v>28</v>
      </c>
      <c r="C146" s="7" t="s">
        <v>6</v>
      </c>
      <c r="D146" s="8">
        <v>0</v>
      </c>
      <c r="E146" s="9">
        <v>12</v>
      </c>
      <c r="F146" s="2">
        <f t="shared" ref="F146:F151" si="1">+D146*E146</f>
        <v>0</v>
      </c>
      <c r="G146" s="37"/>
      <c r="H146" s="350"/>
    </row>
    <row r="147" spans="1:8" ht="13.5" hidden="1" customHeight="1">
      <c r="A147" s="51"/>
      <c r="B147" s="2" t="s">
        <v>7</v>
      </c>
      <c r="C147" s="7" t="s">
        <v>6</v>
      </c>
      <c r="D147" s="8">
        <v>0</v>
      </c>
      <c r="E147" s="9">
        <v>25</v>
      </c>
      <c r="F147" s="2">
        <f t="shared" si="1"/>
        <v>0</v>
      </c>
      <c r="G147" s="37"/>
      <c r="H147" s="350"/>
    </row>
    <row r="148" spans="1:8" ht="13.5" hidden="1" customHeight="1">
      <c r="A148" s="51"/>
      <c r="B148" s="2" t="s">
        <v>79</v>
      </c>
      <c r="C148" s="7" t="s">
        <v>6</v>
      </c>
      <c r="D148" s="8">
        <v>0</v>
      </c>
      <c r="E148" s="9">
        <v>35</v>
      </c>
      <c r="F148" s="2">
        <f t="shared" si="1"/>
        <v>0</v>
      </c>
      <c r="G148" s="37"/>
      <c r="H148" s="350"/>
    </row>
    <row r="149" spans="1:8" ht="13.5" hidden="1" customHeight="1">
      <c r="A149" s="51"/>
      <c r="B149" s="2" t="s">
        <v>80</v>
      </c>
      <c r="C149" s="7" t="s">
        <v>6</v>
      </c>
      <c r="D149" s="8">
        <v>0</v>
      </c>
      <c r="E149" s="9">
        <v>30</v>
      </c>
      <c r="F149" s="2">
        <f t="shared" si="1"/>
        <v>0</v>
      </c>
      <c r="H149" s="350"/>
    </row>
    <row r="150" spans="1:8" ht="13.5" hidden="1" customHeight="1">
      <c r="A150" s="51"/>
      <c r="B150" s="2" t="s">
        <v>27</v>
      </c>
      <c r="C150" s="7" t="s">
        <v>77</v>
      </c>
      <c r="D150" s="8">
        <v>0</v>
      </c>
      <c r="E150" s="9">
        <v>10</v>
      </c>
      <c r="F150" s="2">
        <f t="shared" si="1"/>
        <v>0</v>
      </c>
      <c r="H150" s="350"/>
    </row>
    <row r="151" spans="1:8" ht="13.5" hidden="1" customHeight="1">
      <c r="A151" s="38"/>
      <c r="B151" s="10" t="s">
        <v>74</v>
      </c>
      <c r="C151" s="11" t="s">
        <v>9</v>
      </c>
      <c r="D151" s="12">
        <v>0</v>
      </c>
      <c r="E151" s="13"/>
      <c r="F151" s="10">
        <f t="shared" si="1"/>
        <v>0</v>
      </c>
      <c r="H151" s="350"/>
    </row>
    <row r="152" spans="1:8" ht="13.5" hidden="1" customHeight="1">
      <c r="A152" s="38"/>
      <c r="B152" s="467" t="s">
        <v>3</v>
      </c>
      <c r="C152" s="468"/>
      <c r="D152" s="468"/>
      <c r="E152" s="469"/>
      <c r="F152" s="10">
        <f>SUM(F145:F151)</f>
        <v>0</v>
      </c>
      <c r="G152" s="32"/>
      <c r="H152" s="350"/>
    </row>
    <row r="153" spans="1:8" ht="13.5" hidden="1" customHeight="1">
      <c r="B153" s="57"/>
      <c r="C153" s="50"/>
      <c r="D153" s="38"/>
      <c r="E153" s="38"/>
      <c r="F153" s="38"/>
      <c r="H153" s="350"/>
    </row>
    <row r="154" spans="1:8" ht="13.5" hidden="1" customHeight="1">
      <c r="B154" s="49" t="s">
        <v>29</v>
      </c>
      <c r="C154" s="50"/>
      <c r="D154" s="38"/>
      <c r="E154" s="51"/>
      <c r="F154" s="175" t="s">
        <v>0</v>
      </c>
      <c r="H154" s="350"/>
    </row>
    <row r="155" spans="1:8" ht="13.5" customHeight="1">
      <c r="B155" s="49"/>
      <c r="C155" s="50"/>
      <c r="D155" s="38"/>
      <c r="E155" s="51"/>
      <c r="F155" s="58"/>
      <c r="H155" s="350"/>
    </row>
    <row r="156" spans="1:8" ht="14.85" customHeight="1">
      <c r="A156" s="42"/>
      <c r="B156" s="194" t="s">
        <v>29</v>
      </c>
      <c r="C156" s="195"/>
      <c r="D156" s="195"/>
      <c r="E156" s="195"/>
      <c r="F156" s="309" t="s">
        <v>0</v>
      </c>
      <c r="G156" s="310">
        <f>+F434</f>
        <v>1377483.6683410008</v>
      </c>
      <c r="H156" s="350"/>
    </row>
    <row r="157" spans="1:8" ht="14.85" customHeight="1">
      <c r="A157" s="51"/>
      <c r="B157" s="49"/>
      <c r="C157" s="50"/>
      <c r="D157" s="50"/>
      <c r="E157" s="50"/>
      <c r="F157" s="38"/>
      <c r="H157" s="350"/>
    </row>
    <row r="158" spans="1:8" ht="14.85" customHeight="1">
      <c r="A158" s="59" t="s">
        <v>12</v>
      </c>
      <c r="B158" s="46" t="s">
        <v>24</v>
      </c>
      <c r="C158" s="46" t="s">
        <v>30</v>
      </c>
      <c r="D158" s="46" t="s">
        <v>25</v>
      </c>
      <c r="E158" s="46" t="s">
        <v>5</v>
      </c>
      <c r="F158" s="46" t="s">
        <v>3</v>
      </c>
      <c r="H158" s="350"/>
    </row>
    <row r="159" spans="1:8" ht="14.85" customHeight="1">
      <c r="A159" s="59"/>
      <c r="B159" s="277" t="s">
        <v>112</v>
      </c>
      <c r="C159" s="277" t="s">
        <v>149</v>
      </c>
      <c r="D159" s="60">
        <v>232.7713</v>
      </c>
      <c r="E159" s="60">
        <v>1</v>
      </c>
      <c r="F159" s="359">
        <f t="shared" ref="F159:F222" si="2">+D159*E159</f>
        <v>232.7713</v>
      </c>
      <c r="H159" s="350"/>
    </row>
    <row r="160" spans="1:8" ht="14.85" customHeight="1">
      <c r="A160" s="59"/>
      <c r="B160" s="277" t="s">
        <v>351</v>
      </c>
      <c r="C160" s="277" t="s">
        <v>384</v>
      </c>
      <c r="D160" s="60">
        <v>702.82299999999998</v>
      </c>
      <c r="E160" s="60">
        <v>2</v>
      </c>
      <c r="F160" s="359">
        <f t="shared" si="2"/>
        <v>1405.646</v>
      </c>
      <c r="H160" s="350"/>
    </row>
    <row r="161" spans="1:8" ht="14.85" customHeight="1">
      <c r="A161" s="59"/>
      <c r="B161" s="277" t="s">
        <v>113</v>
      </c>
      <c r="C161" s="277" t="s">
        <v>162</v>
      </c>
      <c r="D161" s="60">
        <v>40.499899999999997</v>
      </c>
      <c r="E161" s="60">
        <v>1.5</v>
      </c>
      <c r="F161" s="359">
        <f t="shared" si="2"/>
        <v>60.749849999999995</v>
      </c>
      <c r="H161" s="350"/>
    </row>
    <row r="162" spans="1:8" ht="14.85" customHeight="1">
      <c r="A162" s="59"/>
      <c r="B162" s="277" t="s">
        <v>339</v>
      </c>
      <c r="C162" s="277" t="s">
        <v>149</v>
      </c>
      <c r="D162" s="60">
        <v>98.972899999999996</v>
      </c>
      <c r="E162" s="60">
        <v>120</v>
      </c>
      <c r="F162" s="359">
        <f t="shared" si="2"/>
        <v>11876.748</v>
      </c>
      <c r="H162" s="350"/>
    </row>
    <row r="163" spans="1:8" ht="14.85" customHeight="1">
      <c r="A163" s="59"/>
      <c r="B163" s="277" t="s">
        <v>486</v>
      </c>
      <c r="C163" s="277" t="s">
        <v>150</v>
      </c>
      <c r="D163" s="60">
        <v>1913.9214999999999</v>
      </c>
      <c r="E163" s="60">
        <v>3.3000000000000003</v>
      </c>
      <c r="F163" s="359">
        <f t="shared" si="2"/>
        <v>6315.9409500000002</v>
      </c>
      <c r="H163" s="350"/>
    </row>
    <row r="164" spans="1:8" ht="14.85" customHeight="1">
      <c r="A164" s="59"/>
      <c r="B164" s="277" t="s">
        <v>385</v>
      </c>
      <c r="C164" s="277" t="s">
        <v>315</v>
      </c>
      <c r="D164" s="60">
        <v>1.3863000000000001</v>
      </c>
      <c r="E164" s="60">
        <v>4</v>
      </c>
      <c r="F164" s="359">
        <f t="shared" si="2"/>
        <v>5.5452000000000004</v>
      </c>
      <c r="H164" s="350"/>
    </row>
    <row r="165" spans="1:8" ht="14.85" customHeight="1">
      <c r="A165" s="59"/>
      <c r="B165" s="277" t="s">
        <v>386</v>
      </c>
      <c r="C165" s="277" t="s">
        <v>162</v>
      </c>
      <c r="D165" s="60">
        <v>909.99980000000005</v>
      </c>
      <c r="E165" s="60">
        <v>1.2</v>
      </c>
      <c r="F165" s="359">
        <f t="shared" si="2"/>
        <v>1091.9997599999999</v>
      </c>
      <c r="H165" s="350"/>
    </row>
    <row r="166" spans="1:8" ht="14.85" customHeight="1">
      <c r="A166" s="59"/>
      <c r="B166" s="277" t="s">
        <v>387</v>
      </c>
      <c r="C166" s="277" t="s">
        <v>162</v>
      </c>
      <c r="D166" s="60">
        <v>8</v>
      </c>
      <c r="E166" s="60">
        <v>48</v>
      </c>
      <c r="F166" s="359">
        <f t="shared" si="2"/>
        <v>384</v>
      </c>
      <c r="H166" s="350"/>
    </row>
    <row r="167" spans="1:8" ht="14.85" customHeight="1">
      <c r="A167" s="59"/>
      <c r="B167" s="277" t="s">
        <v>388</v>
      </c>
      <c r="C167" s="277" t="s">
        <v>162</v>
      </c>
      <c r="D167" s="60">
        <v>8</v>
      </c>
      <c r="E167" s="60">
        <v>48</v>
      </c>
      <c r="F167" s="359">
        <f t="shared" si="2"/>
        <v>384</v>
      </c>
      <c r="H167" s="350"/>
    </row>
    <row r="168" spans="1:8" ht="14.85" customHeight="1">
      <c r="A168" s="59"/>
      <c r="B168" s="277" t="s">
        <v>389</v>
      </c>
      <c r="C168" s="277" t="s">
        <v>148</v>
      </c>
      <c r="D168" s="60">
        <v>191.85290000000001</v>
      </c>
      <c r="E168" s="60">
        <v>7.5</v>
      </c>
      <c r="F168" s="359">
        <f t="shared" si="2"/>
        <v>1438.8967500000001</v>
      </c>
      <c r="H168" s="350"/>
    </row>
    <row r="169" spans="1:8" ht="14.85" customHeight="1">
      <c r="A169" s="59"/>
      <c r="B169" s="277" t="s">
        <v>596</v>
      </c>
      <c r="C169" s="277" t="s">
        <v>162</v>
      </c>
      <c r="D169" s="60">
        <v>114.9226</v>
      </c>
      <c r="E169" s="60">
        <v>2</v>
      </c>
      <c r="F169" s="359">
        <f t="shared" si="2"/>
        <v>229.84520000000001</v>
      </c>
      <c r="H169" s="350"/>
    </row>
    <row r="170" spans="1:8" ht="14.85" customHeight="1">
      <c r="A170" s="59"/>
      <c r="B170" s="277" t="s">
        <v>336</v>
      </c>
      <c r="C170" s="277" t="s">
        <v>148</v>
      </c>
      <c r="D170" s="60">
        <v>697.54570000000001</v>
      </c>
      <c r="E170" s="60">
        <v>4.5</v>
      </c>
      <c r="F170" s="359">
        <f t="shared" si="2"/>
        <v>3138.9556499999999</v>
      </c>
      <c r="H170" s="350"/>
    </row>
    <row r="171" spans="1:8" ht="14.85" customHeight="1">
      <c r="A171" s="59"/>
      <c r="B171" s="277" t="s">
        <v>597</v>
      </c>
      <c r="C171" s="277" t="s">
        <v>148</v>
      </c>
      <c r="D171" s="60">
        <v>2.1646000000000001</v>
      </c>
      <c r="E171" s="60">
        <v>4.5</v>
      </c>
      <c r="F171" s="359">
        <f t="shared" si="2"/>
        <v>9.7407000000000004</v>
      </c>
      <c r="H171" s="350"/>
    </row>
    <row r="172" spans="1:8" ht="14.85" customHeight="1">
      <c r="A172" s="59"/>
      <c r="B172" s="277" t="s">
        <v>579</v>
      </c>
      <c r="C172" s="277" t="s">
        <v>150</v>
      </c>
      <c r="D172" s="60">
        <v>69.196600000000004</v>
      </c>
      <c r="E172" s="60">
        <v>3.9</v>
      </c>
      <c r="F172" s="359">
        <f t="shared" si="2"/>
        <v>269.86673999999999</v>
      </c>
      <c r="H172" s="350"/>
    </row>
    <row r="173" spans="1:8" ht="14.85" customHeight="1">
      <c r="A173" s="59"/>
      <c r="B173" s="277" t="s">
        <v>390</v>
      </c>
      <c r="C173" s="277" t="s">
        <v>162</v>
      </c>
      <c r="D173" s="60">
        <v>44.4114</v>
      </c>
      <c r="E173" s="60">
        <v>3.5</v>
      </c>
      <c r="F173" s="359">
        <f t="shared" si="2"/>
        <v>155.43989999999999</v>
      </c>
      <c r="H173" s="350"/>
    </row>
    <row r="174" spans="1:8" ht="14.85" customHeight="1">
      <c r="A174" s="59"/>
      <c r="B174" s="277" t="s">
        <v>391</v>
      </c>
      <c r="C174" s="277" t="s">
        <v>148</v>
      </c>
      <c r="D174" s="60">
        <v>0.1</v>
      </c>
      <c r="E174" s="60">
        <v>4.5</v>
      </c>
      <c r="F174" s="359">
        <f t="shared" si="2"/>
        <v>0.45</v>
      </c>
      <c r="H174" s="350"/>
    </row>
    <row r="175" spans="1:8" ht="14.85" customHeight="1">
      <c r="A175" s="59"/>
      <c r="B175" s="277" t="s">
        <v>337</v>
      </c>
      <c r="C175" s="277" t="s">
        <v>148</v>
      </c>
      <c r="D175" s="60">
        <v>4006.3851</v>
      </c>
      <c r="E175" s="60">
        <v>4.5</v>
      </c>
      <c r="F175" s="359">
        <f t="shared" si="2"/>
        <v>18028.732950000001</v>
      </c>
      <c r="H175" s="350"/>
    </row>
    <row r="176" spans="1:8" ht="14.85" customHeight="1">
      <c r="A176" s="59"/>
      <c r="B176" s="277" t="s">
        <v>338</v>
      </c>
      <c r="C176" s="277" t="s">
        <v>148</v>
      </c>
      <c r="D176" s="60">
        <v>3982.3661999999999</v>
      </c>
      <c r="E176" s="60">
        <v>4.5</v>
      </c>
      <c r="F176" s="359">
        <f t="shared" si="2"/>
        <v>17920.6479</v>
      </c>
      <c r="H176" s="350"/>
    </row>
    <row r="177" spans="1:8" ht="14.85" customHeight="1">
      <c r="A177" s="59"/>
      <c r="B177" s="277" t="s">
        <v>392</v>
      </c>
      <c r="C177" s="277" t="s">
        <v>148</v>
      </c>
      <c r="D177" s="60">
        <v>69.039100000000005</v>
      </c>
      <c r="E177" s="60">
        <v>4.5</v>
      </c>
      <c r="F177" s="359">
        <f t="shared" si="2"/>
        <v>310.67595</v>
      </c>
      <c r="H177" s="350"/>
    </row>
    <row r="178" spans="1:8" ht="14.85" customHeight="1">
      <c r="A178" s="59"/>
      <c r="B178" s="277" t="s">
        <v>598</v>
      </c>
      <c r="C178" s="277" t="s">
        <v>315</v>
      </c>
      <c r="D178" s="60">
        <v>420.4794</v>
      </c>
      <c r="E178" s="60">
        <v>8</v>
      </c>
      <c r="F178" s="359">
        <f t="shared" si="2"/>
        <v>3363.8352</v>
      </c>
      <c r="H178" s="350"/>
    </row>
    <row r="179" spans="1:8" ht="14.85" customHeight="1">
      <c r="A179" s="59"/>
      <c r="B179" s="277" t="s">
        <v>393</v>
      </c>
      <c r="C179" s="277" t="s">
        <v>162</v>
      </c>
      <c r="D179" s="60">
        <v>1482.8796</v>
      </c>
      <c r="E179" s="60">
        <v>1.2</v>
      </c>
      <c r="F179" s="359">
        <f t="shared" si="2"/>
        <v>1779.45552</v>
      </c>
      <c r="H179" s="350"/>
    </row>
    <row r="180" spans="1:8" ht="14.85" customHeight="1">
      <c r="A180" s="59"/>
      <c r="B180" s="277" t="s">
        <v>394</v>
      </c>
      <c r="C180" s="277" t="s">
        <v>148</v>
      </c>
      <c r="D180" s="60">
        <v>1.804</v>
      </c>
      <c r="E180" s="60">
        <v>5</v>
      </c>
      <c r="F180" s="359">
        <f t="shared" si="2"/>
        <v>9.02</v>
      </c>
      <c r="H180" s="350"/>
    </row>
    <row r="181" spans="1:8" ht="14.85" customHeight="1">
      <c r="A181" s="59"/>
      <c r="B181" s="277" t="s">
        <v>395</v>
      </c>
      <c r="C181" s="277" t="s">
        <v>315</v>
      </c>
      <c r="D181" s="60">
        <v>123.11</v>
      </c>
      <c r="E181" s="60">
        <v>125</v>
      </c>
      <c r="F181" s="359">
        <f t="shared" si="2"/>
        <v>15388.75</v>
      </c>
      <c r="H181" s="350"/>
    </row>
    <row r="182" spans="1:8" ht="14.85" customHeight="1">
      <c r="A182" s="59"/>
      <c r="B182" s="277" t="s">
        <v>580</v>
      </c>
      <c r="C182" s="277" t="s">
        <v>148</v>
      </c>
      <c r="D182" s="60">
        <v>57844.111199999999</v>
      </c>
      <c r="E182" s="60">
        <v>3.8000000000000003</v>
      </c>
      <c r="F182" s="359">
        <f t="shared" si="2"/>
        <v>219807.62256000002</v>
      </c>
      <c r="H182" s="350"/>
    </row>
    <row r="183" spans="1:8" ht="14.85" customHeight="1">
      <c r="A183" s="59"/>
      <c r="B183" s="277" t="s">
        <v>599</v>
      </c>
      <c r="C183" s="277" t="s">
        <v>149</v>
      </c>
      <c r="D183" s="60">
        <v>27.159800000000001</v>
      </c>
      <c r="E183" s="60">
        <v>40</v>
      </c>
      <c r="F183" s="359">
        <f t="shared" si="2"/>
        <v>1086.3920000000001</v>
      </c>
      <c r="H183" s="350"/>
    </row>
    <row r="184" spans="1:8" ht="14.85" customHeight="1">
      <c r="A184" s="59"/>
      <c r="B184" s="277" t="s">
        <v>340</v>
      </c>
      <c r="C184" s="277" t="s">
        <v>149</v>
      </c>
      <c r="D184" s="60">
        <v>399.7303</v>
      </c>
      <c r="E184" s="60">
        <v>120</v>
      </c>
      <c r="F184" s="359">
        <f t="shared" si="2"/>
        <v>47967.635999999999</v>
      </c>
      <c r="H184" s="350"/>
    </row>
    <row r="185" spans="1:8" ht="14.85" customHeight="1">
      <c r="A185" s="59"/>
      <c r="B185" s="277" t="s">
        <v>341</v>
      </c>
      <c r="C185" s="277" t="s">
        <v>149</v>
      </c>
      <c r="D185" s="60">
        <v>4.08</v>
      </c>
      <c r="E185" s="60">
        <v>120</v>
      </c>
      <c r="F185" s="359">
        <f t="shared" si="2"/>
        <v>489.6</v>
      </c>
      <c r="H185" s="350"/>
    </row>
    <row r="186" spans="1:8" ht="14.85" customHeight="1">
      <c r="A186" s="59"/>
      <c r="B186" s="277" t="s">
        <v>308</v>
      </c>
      <c r="C186" s="277" t="s">
        <v>149</v>
      </c>
      <c r="D186" s="60">
        <v>36.435099999999998</v>
      </c>
      <c r="E186" s="60">
        <v>90</v>
      </c>
      <c r="F186" s="359">
        <f t="shared" si="2"/>
        <v>3279.1589999999997</v>
      </c>
      <c r="H186" s="350"/>
    </row>
    <row r="187" spans="1:8" ht="14.85" customHeight="1">
      <c r="A187" s="59"/>
      <c r="B187" s="277" t="s">
        <v>264</v>
      </c>
      <c r="C187" s="277" t="s">
        <v>149</v>
      </c>
      <c r="D187" s="60">
        <v>26.2669</v>
      </c>
      <c r="E187" s="60">
        <v>90</v>
      </c>
      <c r="F187" s="359">
        <f t="shared" si="2"/>
        <v>2364.0210000000002</v>
      </c>
      <c r="H187" s="350"/>
    </row>
    <row r="188" spans="1:8" ht="14.85" customHeight="1">
      <c r="A188" s="59"/>
      <c r="B188" s="277" t="s">
        <v>137</v>
      </c>
      <c r="C188" s="277" t="s">
        <v>149</v>
      </c>
      <c r="D188" s="60">
        <v>556.6019</v>
      </c>
      <c r="E188" s="60">
        <v>120</v>
      </c>
      <c r="F188" s="359">
        <f t="shared" si="2"/>
        <v>66792.228000000003</v>
      </c>
      <c r="H188" s="350"/>
    </row>
    <row r="189" spans="1:8" ht="14.85" customHeight="1">
      <c r="A189" s="59"/>
      <c r="B189" s="277" t="s">
        <v>342</v>
      </c>
      <c r="C189" s="277" t="s">
        <v>149</v>
      </c>
      <c r="D189" s="60">
        <v>118.4772</v>
      </c>
      <c r="E189" s="60">
        <v>40</v>
      </c>
      <c r="F189" s="359">
        <f t="shared" si="2"/>
        <v>4739.0879999999997</v>
      </c>
      <c r="H189" s="350"/>
    </row>
    <row r="190" spans="1:8" ht="14.85" customHeight="1">
      <c r="A190" s="59"/>
      <c r="B190" s="277" t="s">
        <v>396</v>
      </c>
      <c r="C190" s="277" t="s">
        <v>149</v>
      </c>
      <c r="D190" s="60">
        <v>35.112000000000002</v>
      </c>
      <c r="E190" s="60">
        <v>90</v>
      </c>
      <c r="F190" s="359">
        <f t="shared" si="2"/>
        <v>3160.0800000000004</v>
      </c>
      <c r="H190" s="350"/>
    </row>
    <row r="191" spans="1:8" ht="14.85" customHeight="1">
      <c r="A191" s="59"/>
      <c r="B191" s="277" t="s">
        <v>581</v>
      </c>
      <c r="C191" s="277" t="s">
        <v>149</v>
      </c>
      <c r="D191" s="60">
        <v>75.000299999999996</v>
      </c>
      <c r="E191" s="60">
        <v>40</v>
      </c>
      <c r="F191" s="359">
        <f t="shared" si="2"/>
        <v>3000.0119999999997</v>
      </c>
      <c r="H191" s="350"/>
    </row>
    <row r="192" spans="1:8" ht="14.85" customHeight="1">
      <c r="A192" s="59"/>
      <c r="B192" s="277" t="s">
        <v>397</v>
      </c>
      <c r="C192" s="277" t="s">
        <v>162</v>
      </c>
      <c r="D192" s="60">
        <v>34.000100000000003</v>
      </c>
      <c r="E192" s="60">
        <v>3</v>
      </c>
      <c r="F192" s="359">
        <f t="shared" si="2"/>
        <v>102.00030000000001</v>
      </c>
      <c r="H192" s="350"/>
    </row>
    <row r="193" spans="1:8" ht="14.85" customHeight="1">
      <c r="A193" s="59"/>
      <c r="B193" s="277" t="s">
        <v>398</v>
      </c>
      <c r="C193" s="277" t="s">
        <v>162</v>
      </c>
      <c r="D193" s="60">
        <v>8.5</v>
      </c>
      <c r="E193" s="60">
        <v>3.5</v>
      </c>
      <c r="F193" s="359">
        <f t="shared" si="2"/>
        <v>29.75</v>
      </c>
      <c r="H193" s="350"/>
    </row>
    <row r="194" spans="1:8" ht="14.85" customHeight="1">
      <c r="A194" s="59"/>
      <c r="B194" s="277" t="s">
        <v>399</v>
      </c>
      <c r="C194" s="277" t="s">
        <v>162</v>
      </c>
      <c r="D194" s="60">
        <v>4</v>
      </c>
      <c r="E194" s="60">
        <v>320</v>
      </c>
      <c r="F194" s="359">
        <f t="shared" si="2"/>
        <v>1280</v>
      </c>
      <c r="H194" s="350"/>
    </row>
    <row r="195" spans="1:8" ht="14.85" customHeight="1">
      <c r="A195" s="59"/>
      <c r="B195" s="277" t="s">
        <v>400</v>
      </c>
      <c r="C195" s="277" t="s">
        <v>315</v>
      </c>
      <c r="D195" s="60">
        <v>1865.7001</v>
      </c>
      <c r="E195" s="60">
        <v>1.5</v>
      </c>
      <c r="F195" s="359">
        <f t="shared" si="2"/>
        <v>2798.55015</v>
      </c>
      <c r="H195" s="350"/>
    </row>
    <row r="196" spans="1:8" ht="14.85" customHeight="1">
      <c r="A196" s="59"/>
      <c r="B196" s="277" t="s">
        <v>582</v>
      </c>
      <c r="C196" s="277" t="s">
        <v>315</v>
      </c>
      <c r="D196" s="60">
        <v>2072.1999999999998</v>
      </c>
      <c r="E196" s="60">
        <v>2.15</v>
      </c>
      <c r="F196" s="359">
        <f t="shared" si="2"/>
        <v>4455.2299999999996</v>
      </c>
      <c r="H196" s="350"/>
    </row>
    <row r="197" spans="1:8" ht="14.85" customHeight="1">
      <c r="A197" s="59"/>
      <c r="B197" s="277" t="s">
        <v>401</v>
      </c>
      <c r="C197" s="277" t="s">
        <v>402</v>
      </c>
      <c r="D197" s="60">
        <v>5.9997999999999996</v>
      </c>
      <c r="E197" s="60">
        <v>50</v>
      </c>
      <c r="F197" s="359">
        <f t="shared" si="2"/>
        <v>299.98999999999995</v>
      </c>
      <c r="H197" s="350"/>
    </row>
    <row r="198" spans="1:8" ht="14.85" customHeight="1">
      <c r="A198" s="59"/>
      <c r="B198" s="277" t="s">
        <v>600</v>
      </c>
      <c r="C198" s="277" t="s">
        <v>315</v>
      </c>
      <c r="D198" s="60">
        <v>203.9999</v>
      </c>
      <c r="E198" s="60">
        <v>8</v>
      </c>
      <c r="F198" s="359">
        <f t="shared" si="2"/>
        <v>1631.9992</v>
      </c>
      <c r="H198" s="350"/>
    </row>
    <row r="199" spans="1:8" ht="14.85" customHeight="1">
      <c r="A199" s="59"/>
      <c r="B199" s="277" t="s">
        <v>601</v>
      </c>
      <c r="C199" s="277" t="s">
        <v>602</v>
      </c>
      <c r="D199" s="60">
        <v>53.999899999999997</v>
      </c>
      <c r="E199" s="60">
        <v>52.5</v>
      </c>
      <c r="F199" s="359">
        <f t="shared" si="2"/>
        <v>2834.9947499999998</v>
      </c>
      <c r="H199" s="350"/>
    </row>
    <row r="200" spans="1:8" ht="14.85" customHeight="1">
      <c r="A200" s="59"/>
      <c r="B200" s="277" t="s">
        <v>403</v>
      </c>
      <c r="C200" s="277" t="s">
        <v>315</v>
      </c>
      <c r="D200" s="60">
        <v>36.000300000000003</v>
      </c>
      <c r="E200" s="60">
        <v>8.5</v>
      </c>
      <c r="F200" s="359">
        <f t="shared" si="2"/>
        <v>306.00255000000004</v>
      </c>
      <c r="H200" s="350"/>
    </row>
    <row r="201" spans="1:8" ht="14.85" customHeight="1">
      <c r="A201" s="59"/>
      <c r="B201" s="277" t="s">
        <v>404</v>
      </c>
      <c r="C201" s="277" t="s">
        <v>151</v>
      </c>
      <c r="D201" s="60">
        <v>2.9998999999999998</v>
      </c>
      <c r="E201" s="60">
        <v>15</v>
      </c>
      <c r="F201" s="359">
        <f t="shared" si="2"/>
        <v>44.9985</v>
      </c>
      <c r="H201" s="350"/>
    </row>
    <row r="202" spans="1:8" ht="14.85" customHeight="1">
      <c r="A202" s="59"/>
      <c r="B202" s="277" t="s">
        <v>405</v>
      </c>
      <c r="C202" s="277" t="s">
        <v>162</v>
      </c>
      <c r="D202" s="60">
        <v>2.9998999999999998</v>
      </c>
      <c r="E202" s="60">
        <v>180</v>
      </c>
      <c r="F202" s="359">
        <f t="shared" si="2"/>
        <v>539.98199999999997</v>
      </c>
      <c r="H202" s="350"/>
    </row>
    <row r="203" spans="1:8" ht="14.85" customHeight="1">
      <c r="A203" s="59"/>
      <c r="B203" s="277" t="s">
        <v>406</v>
      </c>
      <c r="C203" s="277" t="s">
        <v>315</v>
      </c>
      <c r="D203" s="60">
        <v>18</v>
      </c>
      <c r="E203" s="60">
        <v>1.5</v>
      </c>
      <c r="F203" s="359">
        <f t="shared" si="2"/>
        <v>27</v>
      </c>
      <c r="H203" s="350"/>
    </row>
    <row r="204" spans="1:8" ht="14.85" customHeight="1">
      <c r="A204" s="59"/>
      <c r="B204" s="277" t="s">
        <v>407</v>
      </c>
      <c r="C204" s="277" t="s">
        <v>315</v>
      </c>
      <c r="D204" s="60">
        <v>30.0001</v>
      </c>
      <c r="E204" s="60">
        <v>6.5</v>
      </c>
      <c r="F204" s="359">
        <f t="shared" si="2"/>
        <v>195.00065000000001</v>
      </c>
      <c r="H204" s="350"/>
    </row>
    <row r="205" spans="1:8" ht="14.85" customHeight="1">
      <c r="A205" s="59"/>
      <c r="B205" s="277" t="s">
        <v>583</v>
      </c>
      <c r="C205" s="277" t="s">
        <v>315</v>
      </c>
      <c r="D205" s="60">
        <v>194.24969999999999</v>
      </c>
      <c r="E205" s="60">
        <v>1.4000000000000001</v>
      </c>
      <c r="F205" s="359">
        <f t="shared" si="2"/>
        <v>271.94958000000003</v>
      </c>
      <c r="H205" s="350"/>
    </row>
    <row r="206" spans="1:8" ht="14.85" customHeight="1">
      <c r="A206" s="59"/>
      <c r="B206" s="277" t="s">
        <v>408</v>
      </c>
      <c r="C206" s="277" t="s">
        <v>315</v>
      </c>
      <c r="D206" s="60">
        <v>118</v>
      </c>
      <c r="E206" s="60">
        <v>2</v>
      </c>
      <c r="F206" s="359">
        <f t="shared" si="2"/>
        <v>236</v>
      </c>
      <c r="H206" s="350"/>
    </row>
    <row r="207" spans="1:8" ht="14.85" customHeight="1">
      <c r="A207" s="59"/>
      <c r="B207" s="277" t="s">
        <v>409</v>
      </c>
      <c r="C207" s="277" t="s">
        <v>162</v>
      </c>
      <c r="D207" s="60">
        <v>9.9999000000000002</v>
      </c>
      <c r="E207" s="60">
        <v>150</v>
      </c>
      <c r="F207" s="359">
        <f t="shared" si="2"/>
        <v>1499.9850000000001</v>
      </c>
      <c r="H207" s="350"/>
    </row>
    <row r="208" spans="1:8" ht="14.85" customHeight="1">
      <c r="A208" s="59"/>
      <c r="B208" s="277" t="s">
        <v>603</v>
      </c>
      <c r="C208" s="277" t="s">
        <v>151</v>
      </c>
      <c r="D208" s="60">
        <v>1</v>
      </c>
      <c r="E208" s="60">
        <v>720</v>
      </c>
      <c r="F208" s="359">
        <f t="shared" si="2"/>
        <v>720</v>
      </c>
      <c r="H208" s="350"/>
    </row>
    <row r="209" spans="1:8" ht="14.85" customHeight="1">
      <c r="A209" s="59"/>
      <c r="B209" s="277" t="s">
        <v>410</v>
      </c>
      <c r="C209" s="277" t="s">
        <v>162</v>
      </c>
      <c r="D209" s="60">
        <v>7</v>
      </c>
      <c r="E209" s="60">
        <v>390</v>
      </c>
      <c r="F209" s="359">
        <f t="shared" si="2"/>
        <v>2730</v>
      </c>
      <c r="H209" s="350"/>
    </row>
    <row r="210" spans="1:8" ht="14.85" customHeight="1">
      <c r="A210" s="59"/>
      <c r="B210" s="277" t="s">
        <v>604</v>
      </c>
      <c r="C210" s="277" t="s">
        <v>162</v>
      </c>
      <c r="D210" s="60">
        <v>1</v>
      </c>
      <c r="E210" s="60">
        <v>480</v>
      </c>
      <c r="F210" s="359">
        <f t="shared" si="2"/>
        <v>480</v>
      </c>
      <c r="H210" s="350"/>
    </row>
    <row r="211" spans="1:8" ht="14.85" customHeight="1">
      <c r="A211" s="59"/>
      <c r="B211" s="277" t="s">
        <v>411</v>
      </c>
      <c r="C211" s="277" t="s">
        <v>162</v>
      </c>
      <c r="D211" s="60">
        <v>9</v>
      </c>
      <c r="E211" s="60">
        <v>35</v>
      </c>
      <c r="F211" s="359">
        <f t="shared" si="2"/>
        <v>315</v>
      </c>
      <c r="H211" s="350"/>
    </row>
    <row r="212" spans="1:8" ht="14.85" customHeight="1">
      <c r="A212" s="59"/>
      <c r="B212" s="277" t="s">
        <v>343</v>
      </c>
      <c r="C212" s="277" t="s">
        <v>162</v>
      </c>
      <c r="D212" s="60">
        <v>6.9999000000000002</v>
      </c>
      <c r="E212" s="60">
        <v>25</v>
      </c>
      <c r="F212" s="359">
        <f t="shared" si="2"/>
        <v>174.9975</v>
      </c>
      <c r="H212" s="350"/>
    </row>
    <row r="213" spans="1:8" ht="14.85" customHeight="1">
      <c r="A213" s="59"/>
      <c r="B213" s="277" t="s">
        <v>412</v>
      </c>
      <c r="C213" s="277" t="s">
        <v>162</v>
      </c>
      <c r="D213" s="60">
        <v>10.9999</v>
      </c>
      <c r="E213" s="60">
        <v>15</v>
      </c>
      <c r="F213" s="359">
        <f t="shared" si="2"/>
        <v>164.99850000000001</v>
      </c>
      <c r="H213" s="350"/>
    </row>
    <row r="214" spans="1:8" ht="14.85" customHeight="1">
      <c r="A214" s="59"/>
      <c r="B214" s="277" t="s">
        <v>413</v>
      </c>
      <c r="C214" s="277" t="s">
        <v>162</v>
      </c>
      <c r="D214" s="60">
        <v>5</v>
      </c>
      <c r="E214" s="60">
        <v>7</v>
      </c>
      <c r="F214" s="359">
        <f t="shared" si="2"/>
        <v>35</v>
      </c>
      <c r="H214" s="350"/>
    </row>
    <row r="215" spans="1:8" ht="14.85" customHeight="1">
      <c r="A215" s="59"/>
      <c r="B215" s="277" t="s">
        <v>313</v>
      </c>
      <c r="C215" s="277" t="s">
        <v>162</v>
      </c>
      <c r="D215" s="60">
        <v>6.9999000000000002</v>
      </c>
      <c r="E215" s="60">
        <v>3</v>
      </c>
      <c r="F215" s="359">
        <f t="shared" si="2"/>
        <v>20.999700000000001</v>
      </c>
      <c r="H215" s="350"/>
    </row>
    <row r="216" spans="1:8" ht="14.85" customHeight="1">
      <c r="A216" s="59"/>
      <c r="B216" s="277" t="s">
        <v>605</v>
      </c>
      <c r="C216" s="277" t="s">
        <v>151</v>
      </c>
      <c r="D216" s="60">
        <v>1</v>
      </c>
      <c r="E216" s="60">
        <v>80</v>
      </c>
      <c r="F216" s="359">
        <f t="shared" si="2"/>
        <v>80</v>
      </c>
      <c r="H216" s="350"/>
    </row>
    <row r="217" spans="1:8" ht="14.85" customHeight="1">
      <c r="A217" s="59"/>
      <c r="B217" s="277" t="s">
        <v>414</v>
      </c>
      <c r="C217" s="277" t="s">
        <v>162</v>
      </c>
      <c r="D217" s="60">
        <v>10</v>
      </c>
      <c r="E217" s="60">
        <v>25</v>
      </c>
      <c r="F217" s="359">
        <f t="shared" si="2"/>
        <v>250</v>
      </c>
      <c r="H217" s="350"/>
    </row>
    <row r="218" spans="1:8" ht="14.85" customHeight="1">
      <c r="A218" s="59"/>
      <c r="B218" s="277" t="s">
        <v>415</v>
      </c>
      <c r="C218" s="277" t="s">
        <v>162</v>
      </c>
      <c r="D218" s="60">
        <v>13.9999</v>
      </c>
      <c r="E218" s="60">
        <v>25</v>
      </c>
      <c r="F218" s="359">
        <f t="shared" si="2"/>
        <v>349.9975</v>
      </c>
      <c r="H218" s="350"/>
    </row>
    <row r="219" spans="1:8" ht="14.85" customHeight="1">
      <c r="A219" s="59"/>
      <c r="B219" s="277" t="s">
        <v>606</v>
      </c>
      <c r="C219" s="277" t="s">
        <v>162</v>
      </c>
      <c r="D219" s="60">
        <v>1</v>
      </c>
      <c r="E219" s="60">
        <v>120</v>
      </c>
      <c r="F219" s="359">
        <f t="shared" si="2"/>
        <v>120</v>
      </c>
      <c r="H219" s="350"/>
    </row>
    <row r="220" spans="1:8" ht="14.85" customHeight="1">
      <c r="A220" s="59"/>
      <c r="B220" s="277" t="s">
        <v>416</v>
      </c>
      <c r="C220" s="277" t="s">
        <v>162</v>
      </c>
      <c r="D220" s="60">
        <v>148</v>
      </c>
      <c r="E220" s="60">
        <v>46</v>
      </c>
      <c r="F220" s="359">
        <f t="shared" si="2"/>
        <v>6808</v>
      </c>
      <c r="H220" s="350"/>
    </row>
    <row r="221" spans="1:8" ht="14.85" customHeight="1">
      <c r="A221" s="59"/>
      <c r="B221" s="277" t="s">
        <v>417</v>
      </c>
      <c r="C221" s="277" t="s">
        <v>162</v>
      </c>
      <c r="D221" s="60">
        <v>37</v>
      </c>
      <c r="E221" s="60">
        <v>35</v>
      </c>
      <c r="F221" s="359">
        <f t="shared" si="2"/>
        <v>1295</v>
      </c>
      <c r="H221" s="350"/>
    </row>
    <row r="222" spans="1:8" ht="14.85" customHeight="1">
      <c r="A222" s="59"/>
      <c r="B222" s="277" t="s">
        <v>418</v>
      </c>
      <c r="C222" s="277" t="s">
        <v>151</v>
      </c>
      <c r="D222" s="60">
        <v>1</v>
      </c>
      <c r="E222" s="60">
        <v>320</v>
      </c>
      <c r="F222" s="359">
        <f t="shared" si="2"/>
        <v>320</v>
      </c>
      <c r="H222" s="350"/>
    </row>
    <row r="223" spans="1:8" ht="14.85" customHeight="1">
      <c r="A223" s="59"/>
      <c r="B223" s="277" t="s">
        <v>419</v>
      </c>
      <c r="C223" s="277" t="s">
        <v>162</v>
      </c>
      <c r="D223" s="60">
        <v>103.9995</v>
      </c>
      <c r="E223" s="60">
        <v>13.8</v>
      </c>
      <c r="F223" s="359">
        <f t="shared" ref="F223:F286" si="3">+D223*E223</f>
        <v>1435.1931</v>
      </c>
      <c r="H223" s="350"/>
    </row>
    <row r="224" spans="1:8" ht="14.85" customHeight="1">
      <c r="A224" s="59"/>
      <c r="B224" s="277" t="s">
        <v>420</v>
      </c>
      <c r="C224" s="277" t="s">
        <v>162</v>
      </c>
      <c r="D224" s="60">
        <v>9.9999000000000002</v>
      </c>
      <c r="E224" s="60">
        <v>48</v>
      </c>
      <c r="F224" s="359">
        <f t="shared" si="3"/>
        <v>479.99520000000001</v>
      </c>
      <c r="H224" s="350"/>
    </row>
    <row r="225" spans="1:8" ht="14.85" customHeight="1">
      <c r="A225" s="59"/>
      <c r="B225" s="277" t="s">
        <v>421</v>
      </c>
      <c r="C225" s="277" t="s">
        <v>162</v>
      </c>
      <c r="D225" s="60">
        <v>12.0001</v>
      </c>
      <c r="E225" s="60">
        <v>48</v>
      </c>
      <c r="F225" s="359">
        <f t="shared" si="3"/>
        <v>576.00479999999993</v>
      </c>
      <c r="H225" s="350"/>
    </row>
    <row r="226" spans="1:8" ht="14.85" customHeight="1">
      <c r="A226" s="59"/>
      <c r="B226" s="277" t="s">
        <v>344</v>
      </c>
      <c r="C226" s="277" t="s">
        <v>162</v>
      </c>
      <c r="D226" s="60">
        <v>127.9995</v>
      </c>
      <c r="E226" s="60">
        <v>3</v>
      </c>
      <c r="F226" s="359">
        <f t="shared" si="3"/>
        <v>383.99849999999998</v>
      </c>
      <c r="H226" s="350"/>
    </row>
    <row r="227" spans="1:8" ht="14.85" customHeight="1">
      <c r="A227" s="59"/>
      <c r="B227" s="277" t="s">
        <v>422</v>
      </c>
      <c r="C227" s="277" t="s">
        <v>162</v>
      </c>
      <c r="D227" s="60">
        <v>2.0001000000000002</v>
      </c>
      <c r="E227" s="60">
        <v>3</v>
      </c>
      <c r="F227" s="359">
        <f t="shared" si="3"/>
        <v>6.0003000000000011</v>
      </c>
      <c r="H227" s="350"/>
    </row>
    <row r="228" spans="1:8" ht="14.85" customHeight="1">
      <c r="A228" s="59"/>
      <c r="B228" s="277" t="s">
        <v>423</v>
      </c>
      <c r="C228" s="277" t="s">
        <v>162</v>
      </c>
      <c r="D228" s="60">
        <v>1.0001</v>
      </c>
      <c r="E228" s="60">
        <v>80</v>
      </c>
      <c r="F228" s="359">
        <f t="shared" si="3"/>
        <v>80.007999999999996</v>
      </c>
      <c r="H228" s="350"/>
    </row>
    <row r="229" spans="1:8" ht="14.85" customHeight="1">
      <c r="A229" s="59"/>
      <c r="B229" s="277" t="s">
        <v>424</v>
      </c>
      <c r="C229" s="277" t="s">
        <v>162</v>
      </c>
      <c r="D229" s="60">
        <v>2.0001000000000002</v>
      </c>
      <c r="E229" s="60">
        <v>3</v>
      </c>
      <c r="F229" s="359">
        <f t="shared" si="3"/>
        <v>6.0003000000000011</v>
      </c>
      <c r="H229" s="350"/>
    </row>
    <row r="230" spans="1:8" ht="14.85" customHeight="1">
      <c r="A230" s="59"/>
      <c r="B230" s="277" t="s">
        <v>425</v>
      </c>
      <c r="C230" s="277" t="s">
        <v>162</v>
      </c>
      <c r="D230" s="60">
        <v>55</v>
      </c>
      <c r="E230" s="60">
        <v>5</v>
      </c>
      <c r="F230" s="359">
        <f t="shared" si="3"/>
        <v>275</v>
      </c>
      <c r="H230" s="350"/>
    </row>
    <row r="231" spans="1:8" ht="14.85" customHeight="1">
      <c r="A231" s="59"/>
      <c r="B231" s="277" t="s">
        <v>426</v>
      </c>
      <c r="C231" s="277" t="s">
        <v>162</v>
      </c>
      <c r="D231" s="60">
        <v>194.24969999999999</v>
      </c>
      <c r="E231" s="60">
        <v>3</v>
      </c>
      <c r="F231" s="359">
        <f t="shared" si="3"/>
        <v>582.7491</v>
      </c>
      <c r="H231" s="350"/>
    </row>
    <row r="232" spans="1:8" ht="14.85" customHeight="1">
      <c r="A232" s="59"/>
      <c r="B232" s="277" t="s">
        <v>427</v>
      </c>
      <c r="C232" s="277" t="s">
        <v>162</v>
      </c>
      <c r="D232" s="60">
        <v>996.27260000000001</v>
      </c>
      <c r="E232" s="60">
        <v>15</v>
      </c>
      <c r="F232" s="359">
        <f t="shared" si="3"/>
        <v>14944.089</v>
      </c>
      <c r="H232" s="350"/>
    </row>
    <row r="233" spans="1:8" ht="14.85" customHeight="1">
      <c r="A233" s="59"/>
      <c r="B233" s="277" t="s">
        <v>428</v>
      </c>
      <c r="C233" s="277" t="s">
        <v>162</v>
      </c>
      <c r="D233" s="60">
        <v>4</v>
      </c>
      <c r="E233" s="60">
        <v>45</v>
      </c>
      <c r="F233" s="359">
        <f t="shared" si="3"/>
        <v>180</v>
      </c>
      <c r="H233" s="350"/>
    </row>
    <row r="234" spans="1:8" ht="14.85" customHeight="1">
      <c r="A234" s="59"/>
      <c r="B234" s="277" t="s">
        <v>429</v>
      </c>
      <c r="C234" s="277" t="s">
        <v>162</v>
      </c>
      <c r="D234" s="60">
        <v>8</v>
      </c>
      <c r="E234" s="60">
        <v>48</v>
      </c>
      <c r="F234" s="359">
        <f t="shared" si="3"/>
        <v>384</v>
      </c>
      <c r="H234" s="350"/>
    </row>
    <row r="235" spans="1:8" ht="14.85" customHeight="1">
      <c r="A235" s="59"/>
      <c r="B235" s="277" t="s">
        <v>430</v>
      </c>
      <c r="C235" s="277" t="s">
        <v>162</v>
      </c>
      <c r="D235" s="60">
        <v>24</v>
      </c>
      <c r="E235" s="60">
        <v>13.8</v>
      </c>
      <c r="F235" s="359">
        <f t="shared" si="3"/>
        <v>331.20000000000005</v>
      </c>
      <c r="H235" s="350"/>
    </row>
    <row r="236" spans="1:8" ht="14.85" customHeight="1">
      <c r="A236" s="59"/>
      <c r="B236" s="277" t="s">
        <v>431</v>
      </c>
      <c r="C236" s="277" t="s">
        <v>151</v>
      </c>
      <c r="D236" s="60">
        <v>24</v>
      </c>
      <c r="E236" s="60">
        <v>7.4</v>
      </c>
      <c r="F236" s="359">
        <f t="shared" si="3"/>
        <v>177.60000000000002</v>
      </c>
      <c r="H236" s="350"/>
    </row>
    <row r="237" spans="1:8" ht="14.85" customHeight="1">
      <c r="A237" s="59"/>
      <c r="B237" s="277" t="s">
        <v>432</v>
      </c>
      <c r="C237" s="277" t="s">
        <v>151</v>
      </c>
      <c r="D237" s="60">
        <v>8</v>
      </c>
      <c r="E237" s="60">
        <v>12.3</v>
      </c>
      <c r="F237" s="359">
        <f t="shared" si="3"/>
        <v>98.4</v>
      </c>
      <c r="H237" s="350"/>
    </row>
    <row r="238" spans="1:8" ht="14.85" customHeight="1">
      <c r="A238" s="59"/>
      <c r="B238" s="277" t="s">
        <v>433</v>
      </c>
      <c r="C238" s="277" t="s">
        <v>151</v>
      </c>
      <c r="D238" s="60">
        <v>23</v>
      </c>
      <c r="E238" s="60">
        <v>15.5</v>
      </c>
      <c r="F238" s="359">
        <f t="shared" si="3"/>
        <v>356.5</v>
      </c>
      <c r="H238" s="350"/>
    </row>
    <row r="239" spans="1:8" ht="14.85" customHeight="1">
      <c r="A239" s="59"/>
      <c r="B239" s="277" t="s">
        <v>434</v>
      </c>
      <c r="C239" s="277" t="s">
        <v>162</v>
      </c>
      <c r="D239" s="60">
        <v>8.9997000000000007</v>
      </c>
      <c r="E239" s="60">
        <v>4</v>
      </c>
      <c r="F239" s="359">
        <f t="shared" si="3"/>
        <v>35.998800000000003</v>
      </c>
      <c r="H239" s="350"/>
    </row>
    <row r="240" spans="1:8" ht="14.85" customHeight="1">
      <c r="A240" s="59"/>
      <c r="B240" s="277" t="s">
        <v>607</v>
      </c>
      <c r="C240" s="277" t="s">
        <v>151</v>
      </c>
      <c r="D240" s="60">
        <v>6</v>
      </c>
      <c r="E240" s="60">
        <v>145</v>
      </c>
      <c r="F240" s="359">
        <f t="shared" si="3"/>
        <v>870</v>
      </c>
      <c r="H240" s="350"/>
    </row>
    <row r="241" spans="1:8" ht="14.85" customHeight="1">
      <c r="A241" s="59"/>
      <c r="B241" s="277" t="s">
        <v>608</v>
      </c>
      <c r="C241" s="277" t="s">
        <v>151</v>
      </c>
      <c r="D241" s="60">
        <v>6</v>
      </c>
      <c r="E241" s="60">
        <v>220</v>
      </c>
      <c r="F241" s="359">
        <f t="shared" si="3"/>
        <v>1320</v>
      </c>
      <c r="H241" s="350"/>
    </row>
    <row r="242" spans="1:8" ht="14.85" customHeight="1">
      <c r="A242" s="59"/>
      <c r="B242" s="277" t="s">
        <v>435</v>
      </c>
      <c r="C242" s="277" t="s">
        <v>162</v>
      </c>
      <c r="D242" s="60">
        <v>2.0001000000000002</v>
      </c>
      <c r="E242" s="60">
        <v>10.5</v>
      </c>
      <c r="F242" s="359">
        <f t="shared" si="3"/>
        <v>21.001050000000003</v>
      </c>
      <c r="H242" s="350"/>
    </row>
    <row r="243" spans="1:8" ht="14.85" customHeight="1">
      <c r="A243" s="59"/>
      <c r="B243" s="277" t="s">
        <v>436</v>
      </c>
      <c r="C243" s="277" t="s">
        <v>151</v>
      </c>
      <c r="D243" s="60">
        <v>34.000100000000003</v>
      </c>
      <c r="E243" s="60">
        <v>84.5</v>
      </c>
      <c r="F243" s="359">
        <f t="shared" si="3"/>
        <v>2873.0084500000003</v>
      </c>
      <c r="H243" s="350"/>
    </row>
    <row r="244" spans="1:8" ht="14.85" customHeight="1">
      <c r="A244" s="59"/>
      <c r="B244" s="277" t="s">
        <v>437</v>
      </c>
      <c r="C244" s="277" t="s">
        <v>315</v>
      </c>
      <c r="D244" s="60">
        <v>454.99990000000003</v>
      </c>
      <c r="E244" s="60">
        <v>2</v>
      </c>
      <c r="F244" s="359">
        <f t="shared" si="3"/>
        <v>909.99980000000005</v>
      </c>
      <c r="H244" s="350"/>
    </row>
    <row r="245" spans="1:8" ht="14.85" customHeight="1">
      <c r="A245" s="59"/>
      <c r="B245" s="277" t="s">
        <v>609</v>
      </c>
      <c r="C245" s="277" t="s">
        <v>162</v>
      </c>
      <c r="D245" s="60">
        <v>9.9999000000000002</v>
      </c>
      <c r="E245" s="60">
        <v>780</v>
      </c>
      <c r="F245" s="359">
        <f t="shared" si="3"/>
        <v>7799.9220000000005</v>
      </c>
      <c r="H245" s="350"/>
    </row>
    <row r="246" spans="1:8" ht="14.85" customHeight="1">
      <c r="A246" s="59"/>
      <c r="B246" s="277" t="s">
        <v>345</v>
      </c>
      <c r="C246" s="277" t="s">
        <v>163</v>
      </c>
      <c r="D246" s="60">
        <v>114.7281</v>
      </c>
      <c r="E246" s="60">
        <v>22</v>
      </c>
      <c r="F246" s="359">
        <f t="shared" si="3"/>
        <v>2524.0182</v>
      </c>
      <c r="H246" s="350"/>
    </row>
    <row r="247" spans="1:8" ht="14.85" customHeight="1">
      <c r="A247" s="59"/>
      <c r="B247" s="277" t="s">
        <v>438</v>
      </c>
      <c r="C247" s="277" t="s">
        <v>163</v>
      </c>
      <c r="D247" s="60">
        <v>3.7002000000000002</v>
      </c>
      <c r="E247" s="60">
        <v>120</v>
      </c>
      <c r="F247" s="359">
        <f t="shared" si="3"/>
        <v>444.024</v>
      </c>
      <c r="H247" s="350"/>
    </row>
    <row r="248" spans="1:8" ht="14.85" customHeight="1">
      <c r="A248" s="59"/>
      <c r="B248" s="277" t="s">
        <v>439</v>
      </c>
      <c r="C248" s="277" t="s">
        <v>297</v>
      </c>
      <c r="D248" s="60">
        <v>2.3458000000000001</v>
      </c>
      <c r="E248" s="60">
        <v>25</v>
      </c>
      <c r="F248" s="359">
        <f t="shared" si="3"/>
        <v>58.645000000000003</v>
      </c>
      <c r="H248" s="350"/>
    </row>
    <row r="249" spans="1:8" ht="14.85" customHeight="1">
      <c r="A249" s="59"/>
      <c r="B249" s="277" t="s">
        <v>610</v>
      </c>
      <c r="C249" s="277" t="s">
        <v>162</v>
      </c>
      <c r="D249" s="60">
        <v>8490.24</v>
      </c>
      <c r="E249" s="60">
        <v>1.5</v>
      </c>
      <c r="F249" s="359">
        <f t="shared" si="3"/>
        <v>12735.36</v>
      </c>
      <c r="H249" s="350"/>
    </row>
    <row r="250" spans="1:8" ht="14.85" customHeight="1">
      <c r="A250" s="59"/>
      <c r="B250" s="277" t="s">
        <v>440</v>
      </c>
      <c r="C250" s="277" t="s">
        <v>162</v>
      </c>
      <c r="D250" s="60">
        <v>5058.6795000000002</v>
      </c>
      <c r="E250" s="60">
        <v>4.2</v>
      </c>
      <c r="F250" s="359">
        <f t="shared" si="3"/>
        <v>21246.4539</v>
      </c>
      <c r="H250" s="350"/>
    </row>
    <row r="251" spans="1:8" ht="14.85" customHeight="1">
      <c r="A251" s="59"/>
      <c r="B251" s="277" t="s">
        <v>441</v>
      </c>
      <c r="C251" s="277" t="s">
        <v>162</v>
      </c>
      <c r="D251" s="60">
        <v>51108.570099999997</v>
      </c>
      <c r="E251" s="60">
        <v>1.5</v>
      </c>
      <c r="F251" s="359">
        <f t="shared" si="3"/>
        <v>76662.855149999988</v>
      </c>
      <c r="H251" s="350"/>
    </row>
    <row r="252" spans="1:8" ht="14.85" customHeight="1">
      <c r="A252" s="59"/>
      <c r="B252" s="277" t="s">
        <v>442</v>
      </c>
      <c r="C252" s="277" t="s">
        <v>151</v>
      </c>
      <c r="D252" s="60">
        <v>77.618899999999996</v>
      </c>
      <c r="E252" s="60">
        <v>25</v>
      </c>
      <c r="F252" s="359">
        <f t="shared" si="3"/>
        <v>1940.4724999999999</v>
      </c>
      <c r="H252" s="350"/>
    </row>
    <row r="253" spans="1:8" ht="14.85" customHeight="1">
      <c r="A253" s="59"/>
      <c r="B253" s="277" t="s">
        <v>443</v>
      </c>
      <c r="C253" s="277" t="s">
        <v>151</v>
      </c>
      <c r="D253" s="60">
        <v>77.618899999999996</v>
      </c>
      <c r="E253" s="60">
        <v>25</v>
      </c>
      <c r="F253" s="359">
        <f t="shared" si="3"/>
        <v>1940.4724999999999</v>
      </c>
      <c r="H253" s="350"/>
    </row>
    <row r="254" spans="1:8" ht="14.85" customHeight="1">
      <c r="A254" s="59"/>
      <c r="B254" s="277" t="s">
        <v>444</v>
      </c>
      <c r="C254" s="277" t="s">
        <v>315</v>
      </c>
      <c r="D254" s="60">
        <v>61</v>
      </c>
      <c r="E254" s="60">
        <v>2</v>
      </c>
      <c r="F254" s="359">
        <f t="shared" si="3"/>
        <v>122</v>
      </c>
      <c r="H254" s="350"/>
    </row>
    <row r="255" spans="1:8" ht="14.85" customHeight="1">
      <c r="A255" s="59"/>
      <c r="B255" s="277" t="s">
        <v>611</v>
      </c>
      <c r="C255" s="277" t="s">
        <v>315</v>
      </c>
      <c r="D255" s="60">
        <v>150</v>
      </c>
      <c r="E255" s="60">
        <v>8</v>
      </c>
      <c r="F255" s="359">
        <f t="shared" si="3"/>
        <v>1200</v>
      </c>
      <c r="H255" s="350"/>
    </row>
    <row r="256" spans="1:8" ht="14.85" customHeight="1">
      <c r="A256" s="59"/>
      <c r="B256" s="277" t="s">
        <v>612</v>
      </c>
      <c r="C256" s="277" t="s">
        <v>315</v>
      </c>
      <c r="D256" s="60">
        <v>10.0001</v>
      </c>
      <c r="E256" s="60">
        <v>8</v>
      </c>
      <c r="F256" s="359">
        <f t="shared" si="3"/>
        <v>80.000799999999998</v>
      </c>
      <c r="H256" s="350"/>
    </row>
    <row r="257" spans="1:8" ht="14.85" customHeight="1">
      <c r="A257" s="59"/>
      <c r="B257" s="277" t="s">
        <v>445</v>
      </c>
      <c r="C257" s="277" t="s">
        <v>162</v>
      </c>
      <c r="D257" s="60">
        <v>2.9998999999999998</v>
      </c>
      <c r="E257" s="60">
        <v>300</v>
      </c>
      <c r="F257" s="359">
        <f t="shared" si="3"/>
        <v>899.96999999999991</v>
      </c>
      <c r="H257" s="350"/>
    </row>
    <row r="258" spans="1:8" ht="14.85" customHeight="1">
      <c r="A258" s="59"/>
      <c r="B258" s="277" t="s">
        <v>346</v>
      </c>
      <c r="C258" s="277" t="s">
        <v>362</v>
      </c>
      <c r="D258" s="60">
        <v>8566.4665000000005</v>
      </c>
      <c r="E258" s="60">
        <v>24.5</v>
      </c>
      <c r="F258" s="359">
        <f t="shared" si="3"/>
        <v>209878.42925000002</v>
      </c>
      <c r="H258" s="350"/>
    </row>
    <row r="259" spans="1:8" ht="14.85" customHeight="1">
      <c r="A259" s="59"/>
      <c r="B259" s="277" t="s">
        <v>446</v>
      </c>
      <c r="C259" s="277" t="s">
        <v>300</v>
      </c>
      <c r="D259" s="60">
        <v>63.609299999999998</v>
      </c>
      <c r="E259" s="60">
        <v>29</v>
      </c>
      <c r="F259" s="359">
        <f t="shared" si="3"/>
        <v>1844.6696999999999</v>
      </c>
      <c r="H259" s="350"/>
    </row>
    <row r="260" spans="1:8" ht="14.85" customHeight="1">
      <c r="A260" s="59"/>
      <c r="B260" s="277" t="s">
        <v>348</v>
      </c>
      <c r="C260" s="277" t="s">
        <v>148</v>
      </c>
      <c r="D260" s="60">
        <v>94.816699999999997</v>
      </c>
      <c r="E260" s="60">
        <v>4.5</v>
      </c>
      <c r="F260" s="359">
        <f t="shared" si="3"/>
        <v>426.67514999999997</v>
      </c>
      <c r="H260" s="350"/>
    </row>
    <row r="261" spans="1:8" ht="14.85" customHeight="1">
      <c r="A261" s="59"/>
      <c r="B261" s="277" t="s">
        <v>447</v>
      </c>
      <c r="C261" s="277" t="s">
        <v>162</v>
      </c>
      <c r="D261" s="60">
        <v>3123.6604000000002</v>
      </c>
      <c r="E261" s="60">
        <v>1.9000000000000001</v>
      </c>
      <c r="F261" s="359">
        <f t="shared" si="3"/>
        <v>5934.9547600000005</v>
      </c>
      <c r="H261" s="350"/>
    </row>
    <row r="262" spans="1:8" ht="14.85" customHeight="1">
      <c r="A262" s="59"/>
      <c r="B262" s="277" t="s">
        <v>448</v>
      </c>
      <c r="C262" s="277" t="s">
        <v>162</v>
      </c>
      <c r="D262" s="60">
        <v>27.0001</v>
      </c>
      <c r="E262" s="60">
        <v>70</v>
      </c>
      <c r="F262" s="359">
        <f t="shared" si="3"/>
        <v>1890.0070000000001</v>
      </c>
      <c r="H262" s="350"/>
    </row>
    <row r="263" spans="1:8" ht="14.85" customHeight="1">
      <c r="A263" s="59"/>
      <c r="B263" s="277" t="s">
        <v>449</v>
      </c>
      <c r="C263" s="277" t="s">
        <v>162</v>
      </c>
      <c r="D263" s="60">
        <v>132</v>
      </c>
      <c r="E263" s="60">
        <v>6</v>
      </c>
      <c r="F263" s="359">
        <f t="shared" si="3"/>
        <v>792</v>
      </c>
      <c r="H263" s="350"/>
    </row>
    <row r="264" spans="1:8" ht="14.85" customHeight="1">
      <c r="A264" s="59"/>
      <c r="B264" s="277" t="s">
        <v>613</v>
      </c>
      <c r="C264" s="277" t="s">
        <v>162</v>
      </c>
      <c r="D264" s="60">
        <v>20</v>
      </c>
      <c r="E264" s="60">
        <v>28</v>
      </c>
      <c r="F264" s="359">
        <f t="shared" si="3"/>
        <v>560</v>
      </c>
      <c r="H264" s="350"/>
    </row>
    <row r="265" spans="1:8" ht="14.85" customHeight="1">
      <c r="A265" s="59"/>
      <c r="B265" s="277" t="s">
        <v>614</v>
      </c>
      <c r="C265" s="277" t="s">
        <v>162</v>
      </c>
      <c r="D265" s="60">
        <v>1.0001</v>
      </c>
      <c r="E265" s="60">
        <v>45</v>
      </c>
      <c r="F265" s="359">
        <f t="shared" si="3"/>
        <v>45.0045</v>
      </c>
      <c r="H265" s="350"/>
    </row>
    <row r="266" spans="1:8" ht="14.85" customHeight="1">
      <c r="A266" s="59"/>
      <c r="B266" s="277" t="s">
        <v>584</v>
      </c>
      <c r="C266" s="277" t="s">
        <v>162</v>
      </c>
      <c r="D266" s="60">
        <v>6</v>
      </c>
      <c r="E266" s="60">
        <v>45</v>
      </c>
      <c r="F266" s="359">
        <f t="shared" si="3"/>
        <v>270</v>
      </c>
      <c r="H266" s="350"/>
    </row>
    <row r="267" spans="1:8" ht="14.85" customHeight="1">
      <c r="A267" s="59"/>
      <c r="B267" s="277" t="s">
        <v>398</v>
      </c>
      <c r="C267" s="277" t="s">
        <v>179</v>
      </c>
      <c r="D267" s="60">
        <v>50.000900000000001</v>
      </c>
      <c r="E267" s="60">
        <v>3.5</v>
      </c>
      <c r="F267" s="359">
        <f t="shared" si="3"/>
        <v>175.00315000000001</v>
      </c>
      <c r="H267" s="350"/>
    </row>
    <row r="268" spans="1:8" ht="14.85" customHeight="1">
      <c r="A268" s="59"/>
      <c r="B268" s="277" t="s">
        <v>615</v>
      </c>
      <c r="C268" s="277" t="s">
        <v>151</v>
      </c>
      <c r="D268" s="60">
        <v>194.6396</v>
      </c>
      <c r="E268" s="60">
        <v>25</v>
      </c>
      <c r="F268" s="359">
        <f t="shared" si="3"/>
        <v>4865.99</v>
      </c>
      <c r="H268" s="350"/>
    </row>
    <row r="269" spans="1:8" ht="14.85" customHeight="1">
      <c r="A269" s="59"/>
      <c r="B269" s="277" t="s">
        <v>450</v>
      </c>
      <c r="C269" s="277" t="s">
        <v>148</v>
      </c>
      <c r="D269" s="60">
        <v>1.4328000000000001</v>
      </c>
      <c r="E269" s="60">
        <v>3</v>
      </c>
      <c r="F269" s="359">
        <f t="shared" si="3"/>
        <v>4.2984</v>
      </c>
      <c r="H269" s="350"/>
    </row>
    <row r="270" spans="1:8" ht="14.85" customHeight="1">
      <c r="A270" s="59"/>
      <c r="B270" s="277" t="s">
        <v>451</v>
      </c>
      <c r="C270" s="277" t="s">
        <v>315</v>
      </c>
      <c r="D270" s="60">
        <v>33.799999999999997</v>
      </c>
      <c r="E270" s="60">
        <v>25</v>
      </c>
      <c r="F270" s="359">
        <f t="shared" si="3"/>
        <v>844.99999999999989</v>
      </c>
      <c r="H270" s="350"/>
    </row>
    <row r="271" spans="1:8" ht="14.85" customHeight="1">
      <c r="A271" s="59"/>
      <c r="B271" s="277" t="s">
        <v>452</v>
      </c>
      <c r="C271" s="277" t="s">
        <v>162</v>
      </c>
      <c r="D271" s="60">
        <v>2</v>
      </c>
      <c r="E271" s="60">
        <v>2540</v>
      </c>
      <c r="F271" s="359">
        <f t="shared" si="3"/>
        <v>5080</v>
      </c>
      <c r="H271" s="350"/>
    </row>
    <row r="272" spans="1:8" ht="14.85" customHeight="1">
      <c r="A272" s="59"/>
      <c r="B272" s="277" t="s">
        <v>453</v>
      </c>
      <c r="C272" s="277" t="s">
        <v>148</v>
      </c>
      <c r="D272" s="60">
        <v>156.7199</v>
      </c>
      <c r="E272" s="60">
        <v>10</v>
      </c>
      <c r="F272" s="359">
        <f t="shared" si="3"/>
        <v>1567.1990000000001</v>
      </c>
      <c r="H272" s="350"/>
    </row>
    <row r="273" spans="1:8" ht="14.85" customHeight="1">
      <c r="A273" s="59"/>
      <c r="B273" s="277" t="s">
        <v>646</v>
      </c>
      <c r="C273" s="277" t="s">
        <v>9</v>
      </c>
      <c r="D273" s="60">
        <v>1</v>
      </c>
      <c r="E273" s="60">
        <v>450</v>
      </c>
      <c r="F273" s="359">
        <f t="shared" si="3"/>
        <v>450</v>
      </c>
      <c r="H273" s="350"/>
    </row>
    <row r="274" spans="1:8" ht="14.85" customHeight="1">
      <c r="A274" s="59"/>
      <c r="B274" s="277" t="s">
        <v>647</v>
      </c>
      <c r="C274" s="277" t="s">
        <v>9</v>
      </c>
      <c r="D274" s="60">
        <v>2.0001000000000002</v>
      </c>
      <c r="E274" s="60">
        <v>2500</v>
      </c>
      <c r="F274" s="359">
        <f t="shared" si="3"/>
        <v>5000.2500000000009</v>
      </c>
      <c r="H274" s="350"/>
    </row>
    <row r="275" spans="1:8" ht="14.85" customHeight="1">
      <c r="A275" s="59"/>
      <c r="B275" s="277" t="s">
        <v>454</v>
      </c>
      <c r="C275" s="277" t="s">
        <v>148</v>
      </c>
      <c r="D275" s="60">
        <v>75.4559</v>
      </c>
      <c r="E275" s="60">
        <v>8</v>
      </c>
      <c r="F275" s="359">
        <f t="shared" si="3"/>
        <v>603.6472</v>
      </c>
      <c r="H275" s="350"/>
    </row>
    <row r="276" spans="1:8" ht="14.85" customHeight="1">
      <c r="A276" s="59"/>
      <c r="B276" s="277" t="s">
        <v>455</v>
      </c>
      <c r="C276" s="277" t="s">
        <v>315</v>
      </c>
      <c r="D276" s="60">
        <v>382.37479999999999</v>
      </c>
      <c r="E276" s="60">
        <v>0.1</v>
      </c>
      <c r="F276" s="359">
        <f t="shared" si="3"/>
        <v>38.237479999999998</v>
      </c>
      <c r="H276" s="350"/>
    </row>
    <row r="277" spans="1:8" ht="14.85" customHeight="1">
      <c r="A277" s="59"/>
      <c r="B277" s="277" t="s">
        <v>456</v>
      </c>
      <c r="C277" s="277" t="s">
        <v>148</v>
      </c>
      <c r="D277" s="60">
        <v>0.08</v>
      </c>
      <c r="E277" s="60">
        <v>15</v>
      </c>
      <c r="F277" s="359">
        <f t="shared" si="3"/>
        <v>1.2</v>
      </c>
      <c r="H277" s="350"/>
    </row>
    <row r="278" spans="1:8" ht="14.85" customHeight="1">
      <c r="A278" s="59"/>
      <c r="B278" s="277" t="s">
        <v>457</v>
      </c>
      <c r="C278" s="277" t="s">
        <v>148</v>
      </c>
      <c r="D278" s="60">
        <v>285.70830000000001</v>
      </c>
      <c r="E278" s="60">
        <v>15</v>
      </c>
      <c r="F278" s="359">
        <f t="shared" si="3"/>
        <v>4285.6244999999999</v>
      </c>
      <c r="H278" s="350"/>
    </row>
    <row r="279" spans="1:8" ht="14.85" customHeight="1">
      <c r="A279" s="59"/>
      <c r="B279" s="277" t="s">
        <v>458</v>
      </c>
      <c r="C279" s="277" t="s">
        <v>9</v>
      </c>
      <c r="D279" s="60">
        <v>1</v>
      </c>
      <c r="E279" s="60">
        <v>2500</v>
      </c>
      <c r="F279" s="359">
        <f t="shared" si="3"/>
        <v>2500</v>
      </c>
      <c r="H279" s="350"/>
    </row>
    <row r="280" spans="1:8" ht="14.85" customHeight="1">
      <c r="A280" s="59"/>
      <c r="B280" s="277" t="s">
        <v>616</v>
      </c>
      <c r="C280" s="277" t="s">
        <v>362</v>
      </c>
      <c r="D280" s="60">
        <v>1.4519</v>
      </c>
      <c r="E280" s="60">
        <v>3</v>
      </c>
      <c r="F280" s="359">
        <f t="shared" si="3"/>
        <v>4.3556999999999997</v>
      </c>
      <c r="H280" s="350"/>
    </row>
    <row r="281" spans="1:8" ht="14.85" customHeight="1">
      <c r="A281" s="59"/>
      <c r="B281" s="277" t="s">
        <v>585</v>
      </c>
      <c r="C281" s="277" t="s">
        <v>163</v>
      </c>
      <c r="D281" s="60">
        <v>5.7367999999999997</v>
      </c>
      <c r="E281" s="60">
        <v>48</v>
      </c>
      <c r="F281" s="359">
        <f t="shared" si="3"/>
        <v>275.3664</v>
      </c>
      <c r="H281" s="350"/>
    </row>
    <row r="282" spans="1:8" ht="14.85" customHeight="1">
      <c r="A282" s="59"/>
      <c r="B282" s="277" t="s">
        <v>347</v>
      </c>
      <c r="C282" s="277" t="s">
        <v>362</v>
      </c>
      <c r="D282" s="60">
        <v>107.1183</v>
      </c>
      <c r="E282" s="60">
        <v>7.5</v>
      </c>
      <c r="F282" s="359">
        <f t="shared" si="3"/>
        <v>803.38724999999999</v>
      </c>
      <c r="H282" s="350"/>
    </row>
    <row r="283" spans="1:8" ht="14.85" customHeight="1">
      <c r="A283" s="59"/>
      <c r="B283" s="277" t="s">
        <v>617</v>
      </c>
      <c r="C283" s="277" t="s">
        <v>163</v>
      </c>
      <c r="D283" s="60">
        <v>6.0613000000000001</v>
      </c>
      <c r="E283" s="60">
        <v>28</v>
      </c>
      <c r="F283" s="359">
        <f t="shared" si="3"/>
        <v>169.71639999999999</v>
      </c>
      <c r="H283" s="350"/>
    </row>
    <row r="284" spans="1:8" ht="14.85" customHeight="1">
      <c r="A284" s="59"/>
      <c r="B284" s="277" t="s">
        <v>459</v>
      </c>
      <c r="C284" s="277" t="s">
        <v>148</v>
      </c>
      <c r="D284" s="60">
        <v>0.42509999999999998</v>
      </c>
      <c r="E284" s="60">
        <v>5</v>
      </c>
      <c r="F284" s="359">
        <f t="shared" si="3"/>
        <v>2.1254999999999997</v>
      </c>
      <c r="H284" s="350"/>
    </row>
    <row r="285" spans="1:8" ht="14.85" customHeight="1">
      <c r="A285" s="59"/>
      <c r="B285" s="277" t="s">
        <v>460</v>
      </c>
      <c r="C285" s="277" t="s">
        <v>162</v>
      </c>
      <c r="D285" s="60">
        <v>1</v>
      </c>
      <c r="E285" s="60">
        <v>380</v>
      </c>
      <c r="F285" s="359">
        <f t="shared" si="3"/>
        <v>380</v>
      </c>
      <c r="H285" s="350"/>
    </row>
    <row r="286" spans="1:8" ht="14.85" customHeight="1">
      <c r="A286" s="59"/>
      <c r="B286" s="277" t="s">
        <v>461</v>
      </c>
      <c r="C286" s="277" t="s">
        <v>163</v>
      </c>
      <c r="D286" s="60">
        <v>0.83379999999999999</v>
      </c>
      <c r="E286" s="60">
        <v>120</v>
      </c>
      <c r="F286" s="359">
        <f t="shared" si="3"/>
        <v>100.056</v>
      </c>
      <c r="H286" s="350"/>
    </row>
    <row r="287" spans="1:8" ht="14.85" customHeight="1">
      <c r="A287" s="59"/>
      <c r="B287" s="277" t="s">
        <v>349</v>
      </c>
      <c r="C287" s="277" t="s">
        <v>162</v>
      </c>
      <c r="D287" s="60">
        <v>51.652999999999999</v>
      </c>
      <c r="E287" s="60">
        <v>25</v>
      </c>
      <c r="F287" s="359">
        <f t="shared" ref="F287:F350" si="4">+D287*E287</f>
        <v>1291.325</v>
      </c>
      <c r="H287" s="350"/>
    </row>
    <row r="288" spans="1:8" ht="14.85" customHeight="1">
      <c r="A288" s="59"/>
      <c r="B288" s="277" t="s">
        <v>462</v>
      </c>
      <c r="C288" s="277" t="s">
        <v>162</v>
      </c>
      <c r="D288" s="60">
        <v>72.395399999999995</v>
      </c>
      <c r="E288" s="60">
        <v>12</v>
      </c>
      <c r="F288" s="359">
        <f t="shared" si="4"/>
        <v>868.74479999999994</v>
      </c>
      <c r="H288" s="350"/>
    </row>
    <row r="289" spans="1:8" ht="14.85" customHeight="1">
      <c r="A289" s="59"/>
      <c r="B289" s="277" t="s">
        <v>349</v>
      </c>
      <c r="C289" s="277" t="s">
        <v>362</v>
      </c>
      <c r="D289" s="60">
        <v>188.6413</v>
      </c>
      <c r="E289" s="60">
        <v>18</v>
      </c>
      <c r="F289" s="359">
        <f t="shared" si="4"/>
        <v>3395.5434</v>
      </c>
      <c r="H289" s="350"/>
    </row>
    <row r="290" spans="1:8" ht="14.85" customHeight="1">
      <c r="A290" s="59"/>
      <c r="B290" s="277" t="s">
        <v>350</v>
      </c>
      <c r="C290" s="277" t="s">
        <v>148</v>
      </c>
      <c r="D290" s="60">
        <v>51.218699999999998</v>
      </c>
      <c r="E290" s="60">
        <v>15</v>
      </c>
      <c r="F290" s="359">
        <f t="shared" si="4"/>
        <v>768.28049999999996</v>
      </c>
      <c r="H290" s="350"/>
    </row>
    <row r="291" spans="1:8" ht="14.85" customHeight="1">
      <c r="A291" s="59"/>
      <c r="B291" s="277" t="s">
        <v>113</v>
      </c>
      <c r="C291" s="277" t="s">
        <v>151</v>
      </c>
      <c r="D291" s="60">
        <v>3.2000999999999999</v>
      </c>
      <c r="E291" s="60">
        <v>1.5</v>
      </c>
      <c r="F291" s="359">
        <f t="shared" si="4"/>
        <v>4.8001500000000004</v>
      </c>
      <c r="H291" s="350"/>
    </row>
    <row r="292" spans="1:8" ht="14.85" customHeight="1">
      <c r="A292" s="59"/>
      <c r="B292" s="277" t="s">
        <v>463</v>
      </c>
      <c r="C292" s="277" t="s">
        <v>162</v>
      </c>
      <c r="D292" s="60">
        <v>1.0001</v>
      </c>
      <c r="E292" s="60">
        <v>250</v>
      </c>
      <c r="F292" s="359">
        <f t="shared" si="4"/>
        <v>250.02500000000001</v>
      </c>
      <c r="H292" s="350"/>
    </row>
    <row r="293" spans="1:8" ht="14.85" customHeight="1">
      <c r="A293" s="59"/>
      <c r="B293" s="277" t="s">
        <v>464</v>
      </c>
      <c r="C293" s="277" t="s">
        <v>162</v>
      </c>
      <c r="D293" s="60">
        <v>2.9998999999999998</v>
      </c>
      <c r="E293" s="60">
        <v>120</v>
      </c>
      <c r="F293" s="359">
        <f t="shared" si="4"/>
        <v>359.988</v>
      </c>
      <c r="H293" s="350"/>
    </row>
    <row r="294" spans="1:8" ht="14.85" customHeight="1">
      <c r="A294" s="59"/>
      <c r="B294" s="277" t="s">
        <v>465</v>
      </c>
      <c r="C294" s="277" t="s">
        <v>162</v>
      </c>
      <c r="D294" s="60">
        <v>227.92509999999999</v>
      </c>
      <c r="E294" s="60">
        <v>35</v>
      </c>
      <c r="F294" s="359">
        <f t="shared" si="4"/>
        <v>7977.3784999999998</v>
      </c>
      <c r="H294" s="350"/>
    </row>
    <row r="295" spans="1:8" ht="14.85" customHeight="1">
      <c r="A295" s="59"/>
      <c r="B295" s="277" t="s">
        <v>466</v>
      </c>
      <c r="C295" s="277" t="s">
        <v>315</v>
      </c>
      <c r="D295" s="60">
        <v>90</v>
      </c>
      <c r="E295" s="60">
        <v>25</v>
      </c>
      <c r="F295" s="359">
        <f t="shared" si="4"/>
        <v>2250</v>
      </c>
      <c r="H295" s="350"/>
    </row>
    <row r="296" spans="1:8" ht="14.85" customHeight="1">
      <c r="A296" s="59"/>
      <c r="B296" s="277" t="s">
        <v>309</v>
      </c>
      <c r="C296" s="277" t="s">
        <v>162</v>
      </c>
      <c r="D296" s="60">
        <v>13.168699999999999</v>
      </c>
      <c r="E296" s="60">
        <v>2</v>
      </c>
      <c r="F296" s="359">
        <f t="shared" si="4"/>
        <v>26.337399999999999</v>
      </c>
      <c r="H296" s="350"/>
    </row>
    <row r="297" spans="1:8" ht="14.85" customHeight="1">
      <c r="A297" s="59"/>
      <c r="B297" s="277" t="s">
        <v>467</v>
      </c>
      <c r="C297" s="277" t="s">
        <v>162</v>
      </c>
      <c r="D297" s="60">
        <v>28</v>
      </c>
      <c r="E297" s="60">
        <v>50</v>
      </c>
      <c r="F297" s="359">
        <f t="shared" si="4"/>
        <v>1400</v>
      </c>
      <c r="H297" s="350"/>
    </row>
    <row r="298" spans="1:8" ht="14.85" customHeight="1">
      <c r="A298" s="59"/>
      <c r="B298" s="277" t="s">
        <v>468</v>
      </c>
      <c r="C298" s="277" t="s">
        <v>469</v>
      </c>
      <c r="D298" s="60">
        <v>69.822400000000002</v>
      </c>
      <c r="E298" s="60">
        <v>1000</v>
      </c>
      <c r="F298" s="359">
        <f t="shared" si="4"/>
        <v>69822.400000000009</v>
      </c>
      <c r="H298" s="350"/>
    </row>
    <row r="299" spans="1:8" ht="14.85" customHeight="1">
      <c r="A299" s="59"/>
      <c r="B299" s="277" t="s">
        <v>296</v>
      </c>
      <c r="C299" s="277" t="s">
        <v>149</v>
      </c>
      <c r="D299" s="60">
        <v>179.21940000000001</v>
      </c>
      <c r="E299" s="60">
        <v>100</v>
      </c>
      <c r="F299" s="359">
        <f t="shared" si="4"/>
        <v>17921.940000000002</v>
      </c>
      <c r="H299" s="350"/>
    </row>
    <row r="300" spans="1:8" ht="14.85" customHeight="1">
      <c r="A300" s="59"/>
      <c r="B300" s="277" t="s">
        <v>618</v>
      </c>
      <c r="C300" s="277" t="s">
        <v>163</v>
      </c>
      <c r="D300" s="60">
        <v>5.5072000000000001</v>
      </c>
      <c r="E300" s="60">
        <v>80</v>
      </c>
      <c r="F300" s="359">
        <f t="shared" si="4"/>
        <v>440.57600000000002</v>
      </c>
      <c r="H300" s="350"/>
    </row>
    <row r="301" spans="1:8" ht="14.85" customHeight="1">
      <c r="A301" s="59"/>
      <c r="B301" s="277" t="s">
        <v>619</v>
      </c>
      <c r="C301" s="277" t="s">
        <v>471</v>
      </c>
      <c r="D301" s="60">
        <v>7.0709999999999997</v>
      </c>
      <c r="E301" s="60">
        <v>15</v>
      </c>
      <c r="F301" s="359">
        <f t="shared" si="4"/>
        <v>106.065</v>
      </c>
      <c r="H301" s="350"/>
    </row>
    <row r="302" spans="1:8" ht="14.85" customHeight="1">
      <c r="A302" s="59"/>
      <c r="B302" s="277" t="s">
        <v>314</v>
      </c>
      <c r="C302" s="277" t="s">
        <v>162</v>
      </c>
      <c r="D302" s="60">
        <v>182.11580000000001</v>
      </c>
      <c r="E302" s="60">
        <v>5</v>
      </c>
      <c r="F302" s="359">
        <f t="shared" si="4"/>
        <v>910.57900000000006</v>
      </c>
      <c r="H302" s="350"/>
    </row>
    <row r="303" spans="1:8" ht="14.85" customHeight="1">
      <c r="A303" s="59"/>
      <c r="B303" s="277" t="s">
        <v>470</v>
      </c>
      <c r="C303" s="277" t="s">
        <v>471</v>
      </c>
      <c r="D303" s="60">
        <v>79.059899999999999</v>
      </c>
      <c r="E303" s="60">
        <v>1.5</v>
      </c>
      <c r="F303" s="359">
        <f t="shared" si="4"/>
        <v>118.58985</v>
      </c>
      <c r="H303" s="350"/>
    </row>
    <row r="304" spans="1:8" ht="14.85" customHeight="1">
      <c r="A304" s="59"/>
      <c r="B304" s="277" t="s">
        <v>472</v>
      </c>
      <c r="C304" s="277" t="s">
        <v>315</v>
      </c>
      <c r="D304" s="60">
        <v>159.0001</v>
      </c>
      <c r="E304" s="60">
        <v>5.5</v>
      </c>
      <c r="F304" s="359">
        <f t="shared" si="4"/>
        <v>874.50054999999998</v>
      </c>
      <c r="H304" s="350"/>
    </row>
    <row r="305" spans="1:8" ht="14.85" customHeight="1">
      <c r="A305" s="59"/>
      <c r="B305" s="277" t="s">
        <v>112</v>
      </c>
      <c r="C305" s="277" t="s">
        <v>149</v>
      </c>
      <c r="D305" s="60">
        <v>13.156700000000001</v>
      </c>
      <c r="E305" s="60">
        <v>1</v>
      </c>
      <c r="F305" s="359">
        <f t="shared" si="4"/>
        <v>13.156700000000001</v>
      </c>
      <c r="H305" s="350"/>
    </row>
    <row r="306" spans="1:8" ht="14.85" customHeight="1">
      <c r="A306" s="59"/>
      <c r="B306" s="277" t="s">
        <v>473</v>
      </c>
      <c r="C306" s="277" t="s">
        <v>148</v>
      </c>
      <c r="D306" s="60">
        <v>1.6</v>
      </c>
      <c r="E306" s="60">
        <v>5</v>
      </c>
      <c r="F306" s="359">
        <f t="shared" si="4"/>
        <v>8</v>
      </c>
      <c r="H306" s="350"/>
    </row>
    <row r="307" spans="1:8" ht="14.85" customHeight="1">
      <c r="A307" s="59"/>
      <c r="B307" s="277" t="s">
        <v>474</v>
      </c>
      <c r="C307" s="277" t="s">
        <v>9</v>
      </c>
      <c r="D307" s="60">
        <v>1</v>
      </c>
      <c r="E307" s="60">
        <v>450</v>
      </c>
      <c r="F307" s="359">
        <f t="shared" si="4"/>
        <v>450</v>
      </c>
      <c r="H307" s="350"/>
    </row>
    <row r="308" spans="1:8" ht="14.85" customHeight="1">
      <c r="A308" s="59"/>
      <c r="B308" s="277" t="s">
        <v>475</v>
      </c>
      <c r="C308" s="277" t="s">
        <v>162</v>
      </c>
      <c r="D308" s="60">
        <v>3</v>
      </c>
      <c r="E308" s="60">
        <v>350</v>
      </c>
      <c r="F308" s="359">
        <f t="shared" si="4"/>
        <v>1050</v>
      </c>
      <c r="H308" s="350"/>
    </row>
    <row r="309" spans="1:8" ht="14.85" customHeight="1">
      <c r="A309" s="59"/>
      <c r="B309" s="277" t="s">
        <v>476</v>
      </c>
      <c r="C309" s="277" t="s">
        <v>162</v>
      </c>
      <c r="D309" s="60">
        <v>3</v>
      </c>
      <c r="E309" s="60">
        <v>350</v>
      </c>
      <c r="F309" s="359">
        <f t="shared" si="4"/>
        <v>1050</v>
      </c>
      <c r="H309" s="350"/>
    </row>
    <row r="310" spans="1:8" ht="14.85" customHeight="1">
      <c r="A310" s="59"/>
      <c r="B310" s="277" t="s">
        <v>620</v>
      </c>
      <c r="C310" s="277" t="s">
        <v>9</v>
      </c>
      <c r="D310" s="60">
        <v>1</v>
      </c>
      <c r="E310" s="60">
        <v>3500</v>
      </c>
      <c r="F310" s="359">
        <f t="shared" si="4"/>
        <v>3500</v>
      </c>
      <c r="H310" s="350"/>
    </row>
    <row r="311" spans="1:8" ht="14.85" customHeight="1">
      <c r="A311" s="59"/>
      <c r="B311" s="277" t="s">
        <v>621</v>
      </c>
      <c r="C311" s="277" t="s">
        <v>162</v>
      </c>
      <c r="D311" s="60">
        <v>3</v>
      </c>
      <c r="E311" s="60">
        <v>280</v>
      </c>
      <c r="F311" s="359">
        <f t="shared" si="4"/>
        <v>840</v>
      </c>
      <c r="H311" s="350"/>
    </row>
    <row r="312" spans="1:8" ht="14.85" customHeight="1">
      <c r="A312" s="59"/>
      <c r="B312" s="277" t="s">
        <v>477</v>
      </c>
      <c r="C312" s="277" t="s">
        <v>300</v>
      </c>
      <c r="D312" s="60">
        <v>790.5104</v>
      </c>
      <c r="E312" s="60">
        <v>30</v>
      </c>
      <c r="F312" s="359">
        <f t="shared" si="4"/>
        <v>23715.312000000002</v>
      </c>
      <c r="H312" s="350"/>
    </row>
    <row r="313" spans="1:8" ht="14.85" customHeight="1">
      <c r="A313" s="59"/>
      <c r="B313" s="277" t="s">
        <v>478</v>
      </c>
      <c r="C313" s="277" t="s">
        <v>315</v>
      </c>
      <c r="D313" s="60">
        <v>446.94330000000002</v>
      </c>
      <c r="E313" s="60">
        <v>29</v>
      </c>
      <c r="F313" s="359">
        <f t="shared" si="4"/>
        <v>12961.3557</v>
      </c>
      <c r="H313" s="350"/>
    </row>
    <row r="314" spans="1:8" ht="14.85" customHeight="1">
      <c r="A314" s="59"/>
      <c r="B314" s="277" t="s">
        <v>622</v>
      </c>
      <c r="C314" s="277" t="s">
        <v>300</v>
      </c>
      <c r="D314" s="60">
        <v>1.7850999999999999</v>
      </c>
      <c r="E314" s="60">
        <v>30</v>
      </c>
      <c r="F314" s="359">
        <f t="shared" si="4"/>
        <v>53.552999999999997</v>
      </c>
      <c r="H314" s="350"/>
    </row>
    <row r="315" spans="1:8" ht="14.85" customHeight="1">
      <c r="A315" s="59"/>
      <c r="B315" s="277" t="s">
        <v>352</v>
      </c>
      <c r="C315" s="277" t="s">
        <v>300</v>
      </c>
      <c r="D315" s="60">
        <v>74.980500000000006</v>
      </c>
      <c r="E315" s="60">
        <v>380</v>
      </c>
      <c r="F315" s="359">
        <f t="shared" si="4"/>
        <v>28492.590000000004</v>
      </c>
      <c r="H315" s="350"/>
    </row>
    <row r="316" spans="1:8" ht="14.85" customHeight="1">
      <c r="A316" s="59"/>
      <c r="B316" s="277" t="s">
        <v>479</v>
      </c>
      <c r="C316" s="277" t="s">
        <v>300</v>
      </c>
      <c r="D316" s="60">
        <v>12.358700000000001</v>
      </c>
      <c r="E316" s="60">
        <v>230</v>
      </c>
      <c r="F316" s="359">
        <f t="shared" si="4"/>
        <v>2842.5010000000002</v>
      </c>
      <c r="H316" s="350"/>
    </row>
    <row r="317" spans="1:8" ht="14.85" customHeight="1">
      <c r="A317" s="59"/>
      <c r="B317" s="277" t="s">
        <v>623</v>
      </c>
      <c r="C317" s="277" t="s">
        <v>300</v>
      </c>
      <c r="D317" s="60">
        <v>55.078800000000001</v>
      </c>
      <c r="E317" s="60">
        <v>95</v>
      </c>
      <c r="F317" s="359">
        <f t="shared" si="4"/>
        <v>5232.4859999999999</v>
      </c>
      <c r="H317" s="350"/>
    </row>
    <row r="318" spans="1:8" ht="14.85" customHeight="1">
      <c r="A318" s="59"/>
      <c r="B318" s="277" t="s">
        <v>353</v>
      </c>
      <c r="C318" s="277" t="s">
        <v>150</v>
      </c>
      <c r="D318" s="60">
        <v>1.4861</v>
      </c>
      <c r="E318" s="60">
        <v>3.3000000000000003</v>
      </c>
      <c r="F318" s="359">
        <f t="shared" si="4"/>
        <v>4.9041300000000003</v>
      </c>
      <c r="H318" s="350"/>
    </row>
    <row r="319" spans="1:8" ht="14.85" customHeight="1">
      <c r="A319" s="59"/>
      <c r="B319" s="277" t="s">
        <v>480</v>
      </c>
      <c r="C319" s="277" t="s">
        <v>162</v>
      </c>
      <c r="D319" s="60">
        <v>40</v>
      </c>
      <c r="E319" s="60">
        <v>15</v>
      </c>
      <c r="F319" s="359">
        <f t="shared" si="4"/>
        <v>600</v>
      </c>
      <c r="H319" s="350"/>
    </row>
    <row r="320" spans="1:8" ht="14.85" customHeight="1">
      <c r="A320" s="59"/>
      <c r="B320" s="277" t="s">
        <v>481</v>
      </c>
      <c r="C320" s="277" t="s">
        <v>162</v>
      </c>
      <c r="D320" s="60">
        <v>6</v>
      </c>
      <c r="E320" s="60">
        <v>20</v>
      </c>
      <c r="F320" s="359">
        <f t="shared" si="4"/>
        <v>120</v>
      </c>
      <c r="H320" s="350"/>
    </row>
    <row r="321" spans="1:8" ht="14.85" customHeight="1">
      <c r="A321" s="59"/>
      <c r="B321" s="277" t="s">
        <v>482</v>
      </c>
      <c r="C321" s="277" t="s">
        <v>162</v>
      </c>
      <c r="D321" s="60">
        <v>4</v>
      </c>
      <c r="E321" s="60">
        <v>15</v>
      </c>
      <c r="F321" s="359">
        <f t="shared" si="4"/>
        <v>60</v>
      </c>
      <c r="H321" s="350"/>
    </row>
    <row r="322" spans="1:8" ht="14.85" customHeight="1">
      <c r="A322" s="59"/>
      <c r="B322" s="277" t="s">
        <v>483</v>
      </c>
      <c r="C322" s="277" t="s">
        <v>162</v>
      </c>
      <c r="D322" s="60">
        <v>9</v>
      </c>
      <c r="E322" s="60">
        <v>25</v>
      </c>
      <c r="F322" s="359">
        <f t="shared" si="4"/>
        <v>225</v>
      </c>
      <c r="H322" s="350"/>
    </row>
    <row r="323" spans="1:8" ht="14.85" customHeight="1">
      <c r="A323" s="59"/>
      <c r="B323" s="277" t="s">
        <v>484</v>
      </c>
      <c r="C323" s="277" t="s">
        <v>162</v>
      </c>
      <c r="D323" s="60">
        <v>23</v>
      </c>
      <c r="E323" s="60">
        <v>20</v>
      </c>
      <c r="F323" s="359">
        <f t="shared" si="4"/>
        <v>460</v>
      </c>
      <c r="H323" s="350"/>
    </row>
    <row r="324" spans="1:8" ht="14.85" customHeight="1">
      <c r="A324" s="59"/>
      <c r="B324" s="277" t="s">
        <v>485</v>
      </c>
      <c r="C324" s="277" t="s">
        <v>162</v>
      </c>
      <c r="D324" s="60">
        <v>62</v>
      </c>
      <c r="E324" s="60">
        <v>15</v>
      </c>
      <c r="F324" s="359">
        <f t="shared" si="4"/>
        <v>930</v>
      </c>
      <c r="H324" s="350"/>
    </row>
    <row r="325" spans="1:8" ht="14.85" customHeight="1">
      <c r="A325" s="59"/>
      <c r="B325" s="277" t="s">
        <v>486</v>
      </c>
      <c r="C325" s="277" t="s">
        <v>150</v>
      </c>
      <c r="D325" s="60">
        <v>1105.2304999999999</v>
      </c>
      <c r="E325" s="60">
        <v>3.3000000000000003</v>
      </c>
      <c r="F325" s="359">
        <f t="shared" si="4"/>
        <v>3647.2606499999997</v>
      </c>
      <c r="H325" s="350"/>
    </row>
    <row r="326" spans="1:8" ht="14.85" customHeight="1">
      <c r="A326" s="59"/>
      <c r="B326" s="277" t="s">
        <v>624</v>
      </c>
      <c r="C326" s="277" t="s">
        <v>151</v>
      </c>
      <c r="D326" s="60">
        <v>86.579899999999995</v>
      </c>
      <c r="E326" s="60">
        <v>6</v>
      </c>
      <c r="F326" s="359">
        <f t="shared" si="4"/>
        <v>519.47939999999994</v>
      </c>
      <c r="H326" s="350"/>
    </row>
    <row r="327" spans="1:8" ht="14.85" customHeight="1">
      <c r="A327" s="59"/>
      <c r="B327" s="277" t="s">
        <v>487</v>
      </c>
      <c r="C327" s="277" t="s">
        <v>151</v>
      </c>
      <c r="D327" s="60">
        <v>2510.4794000000002</v>
      </c>
      <c r="E327" s="60">
        <v>3.25</v>
      </c>
      <c r="F327" s="359">
        <f t="shared" si="4"/>
        <v>8159.0580500000005</v>
      </c>
      <c r="H327" s="350"/>
    </row>
    <row r="328" spans="1:8" ht="14.85" customHeight="1">
      <c r="A328" s="59"/>
      <c r="B328" s="277" t="s">
        <v>488</v>
      </c>
      <c r="C328" s="277" t="s">
        <v>150</v>
      </c>
      <c r="D328" s="60">
        <v>40.2502</v>
      </c>
      <c r="E328" s="60">
        <v>3.5</v>
      </c>
      <c r="F328" s="359">
        <f t="shared" si="4"/>
        <v>140.87569999999999</v>
      </c>
      <c r="H328" s="350"/>
    </row>
    <row r="329" spans="1:8" ht="14.85" customHeight="1">
      <c r="A329" s="59"/>
      <c r="B329" s="277" t="s">
        <v>489</v>
      </c>
      <c r="C329" s="277" t="s">
        <v>150</v>
      </c>
      <c r="D329" s="60">
        <v>226.18010000000001</v>
      </c>
      <c r="E329" s="60">
        <v>6.2</v>
      </c>
      <c r="F329" s="359">
        <f t="shared" si="4"/>
        <v>1402.3166200000001</v>
      </c>
      <c r="H329" s="350"/>
    </row>
    <row r="330" spans="1:8" ht="14.85" customHeight="1">
      <c r="A330" s="59"/>
      <c r="B330" s="277" t="s">
        <v>490</v>
      </c>
      <c r="C330" s="277" t="s">
        <v>297</v>
      </c>
      <c r="D330" s="60">
        <v>0.58989999999999998</v>
      </c>
      <c r="E330" s="60">
        <v>125</v>
      </c>
      <c r="F330" s="359">
        <f t="shared" si="4"/>
        <v>73.737499999999997</v>
      </c>
      <c r="H330" s="350"/>
    </row>
    <row r="331" spans="1:8" ht="14.85" customHeight="1">
      <c r="A331" s="59"/>
      <c r="B331" s="277" t="s">
        <v>491</v>
      </c>
      <c r="C331" s="277" t="s">
        <v>150</v>
      </c>
      <c r="D331" s="60">
        <v>19252.054499999998</v>
      </c>
      <c r="E331" s="60">
        <v>6.2</v>
      </c>
      <c r="F331" s="359">
        <f t="shared" si="4"/>
        <v>119362.73789999999</v>
      </c>
      <c r="H331" s="350"/>
    </row>
    <row r="332" spans="1:8" ht="14.85" customHeight="1">
      <c r="A332" s="59"/>
      <c r="B332" s="277" t="s">
        <v>492</v>
      </c>
      <c r="C332" s="277" t="s">
        <v>300</v>
      </c>
      <c r="D332" s="60">
        <v>482.601</v>
      </c>
      <c r="E332" s="60">
        <v>25</v>
      </c>
      <c r="F332" s="359">
        <f t="shared" si="4"/>
        <v>12065.025</v>
      </c>
      <c r="H332" s="350"/>
    </row>
    <row r="333" spans="1:8" ht="14.85" customHeight="1">
      <c r="A333" s="59"/>
      <c r="B333" s="277" t="s">
        <v>493</v>
      </c>
      <c r="C333" s="277" t="s">
        <v>315</v>
      </c>
      <c r="D333" s="60">
        <v>360.8</v>
      </c>
      <c r="E333" s="60">
        <v>0.35000000000000003</v>
      </c>
      <c r="F333" s="359">
        <f t="shared" si="4"/>
        <v>126.28000000000002</v>
      </c>
      <c r="H333" s="350"/>
    </row>
    <row r="334" spans="1:8" ht="14.85" customHeight="1">
      <c r="A334" s="59"/>
      <c r="B334" s="277" t="s">
        <v>354</v>
      </c>
      <c r="C334" s="277" t="s">
        <v>151</v>
      </c>
      <c r="D334" s="60">
        <v>8</v>
      </c>
      <c r="E334" s="60">
        <v>25</v>
      </c>
      <c r="F334" s="359">
        <f t="shared" si="4"/>
        <v>200</v>
      </c>
      <c r="H334" s="350"/>
    </row>
    <row r="335" spans="1:8" ht="14.85" customHeight="1">
      <c r="A335" s="59"/>
      <c r="B335" s="277" t="s">
        <v>625</v>
      </c>
      <c r="C335" s="277" t="s">
        <v>162</v>
      </c>
      <c r="D335" s="60">
        <v>1</v>
      </c>
      <c r="E335" s="60">
        <v>240</v>
      </c>
      <c r="F335" s="359">
        <f t="shared" si="4"/>
        <v>240</v>
      </c>
      <c r="H335" s="350"/>
    </row>
    <row r="336" spans="1:8" ht="14.85" customHeight="1">
      <c r="A336" s="59"/>
      <c r="B336" s="277" t="s">
        <v>494</v>
      </c>
      <c r="C336" s="277" t="s">
        <v>315</v>
      </c>
      <c r="D336" s="60">
        <v>1149.05</v>
      </c>
      <c r="E336" s="60">
        <v>3.5</v>
      </c>
      <c r="F336" s="359">
        <f t="shared" si="4"/>
        <v>4021.6749999999997</v>
      </c>
      <c r="H336" s="350"/>
    </row>
    <row r="337" spans="1:8" ht="14.85" customHeight="1">
      <c r="A337" s="59"/>
      <c r="B337" s="277" t="s">
        <v>495</v>
      </c>
      <c r="C337" s="277" t="s">
        <v>315</v>
      </c>
      <c r="D337" s="60">
        <v>296.57580000000002</v>
      </c>
      <c r="E337" s="60">
        <v>2.5</v>
      </c>
      <c r="F337" s="359">
        <f t="shared" si="4"/>
        <v>741.43950000000007</v>
      </c>
      <c r="H337" s="350"/>
    </row>
    <row r="338" spans="1:8" ht="14.85" customHeight="1">
      <c r="A338" s="59"/>
      <c r="B338" s="277" t="s">
        <v>496</v>
      </c>
      <c r="C338" s="277" t="s">
        <v>315</v>
      </c>
      <c r="D338" s="60">
        <v>704.36829999999998</v>
      </c>
      <c r="E338" s="60">
        <v>2.8000000000000003</v>
      </c>
      <c r="F338" s="359">
        <f t="shared" si="4"/>
        <v>1972.2312400000001</v>
      </c>
      <c r="H338" s="350"/>
    </row>
    <row r="339" spans="1:8" ht="14.85" customHeight="1">
      <c r="A339" s="59"/>
      <c r="B339" s="277" t="s">
        <v>497</v>
      </c>
      <c r="C339" s="277" t="s">
        <v>315</v>
      </c>
      <c r="D339" s="60">
        <v>611.68769999999995</v>
      </c>
      <c r="E339" s="60">
        <v>2.7</v>
      </c>
      <c r="F339" s="359">
        <f t="shared" si="4"/>
        <v>1651.5567899999999</v>
      </c>
      <c r="H339" s="350"/>
    </row>
    <row r="340" spans="1:8" ht="14.85" customHeight="1">
      <c r="A340" s="59"/>
      <c r="B340" s="277" t="s">
        <v>498</v>
      </c>
      <c r="C340" s="277" t="s">
        <v>315</v>
      </c>
      <c r="D340" s="60">
        <v>315.11189999999999</v>
      </c>
      <c r="E340" s="60">
        <v>2.5</v>
      </c>
      <c r="F340" s="359">
        <f t="shared" si="4"/>
        <v>787.77974999999992</v>
      </c>
      <c r="H340" s="350"/>
    </row>
    <row r="341" spans="1:8" ht="14.85" customHeight="1">
      <c r="A341" s="59"/>
      <c r="B341" s="277" t="s">
        <v>499</v>
      </c>
      <c r="C341" s="277" t="s">
        <v>148</v>
      </c>
      <c r="D341" s="60">
        <v>92.680199999999999</v>
      </c>
      <c r="E341" s="60">
        <v>1.5</v>
      </c>
      <c r="F341" s="359">
        <f t="shared" si="4"/>
        <v>139.02029999999999</v>
      </c>
      <c r="H341" s="350"/>
    </row>
    <row r="342" spans="1:8" ht="14.85" customHeight="1">
      <c r="A342" s="59"/>
      <c r="B342" s="277" t="s">
        <v>626</v>
      </c>
      <c r="C342" s="277" t="s">
        <v>315</v>
      </c>
      <c r="D342" s="60">
        <v>217.35040000000001</v>
      </c>
      <c r="E342" s="60">
        <v>32</v>
      </c>
      <c r="F342" s="359">
        <f t="shared" si="4"/>
        <v>6955.2128000000002</v>
      </c>
      <c r="H342" s="350"/>
    </row>
    <row r="343" spans="1:8" ht="14.85" customHeight="1">
      <c r="A343" s="59"/>
      <c r="B343" s="277" t="s">
        <v>500</v>
      </c>
      <c r="C343" s="277" t="s">
        <v>315</v>
      </c>
      <c r="D343" s="60">
        <v>60.900199999999998</v>
      </c>
      <c r="E343" s="60">
        <v>35</v>
      </c>
      <c r="F343" s="359">
        <f t="shared" si="4"/>
        <v>2131.5070000000001</v>
      </c>
      <c r="H343" s="350"/>
    </row>
    <row r="344" spans="1:8" ht="14.85" customHeight="1">
      <c r="A344" s="59"/>
      <c r="B344" s="277" t="s">
        <v>501</v>
      </c>
      <c r="C344" s="277" t="s">
        <v>315</v>
      </c>
      <c r="D344" s="60">
        <v>601.85940000000005</v>
      </c>
      <c r="E344" s="60">
        <v>27.5</v>
      </c>
      <c r="F344" s="359">
        <f t="shared" si="4"/>
        <v>16551.1335</v>
      </c>
      <c r="H344" s="350"/>
    </row>
    <row r="345" spans="1:8" ht="14.85" customHeight="1">
      <c r="A345" s="59"/>
      <c r="B345" s="277" t="s">
        <v>627</v>
      </c>
      <c r="C345" s="277" t="s">
        <v>315</v>
      </c>
      <c r="D345" s="60">
        <v>45.850099999999998</v>
      </c>
      <c r="E345" s="60">
        <v>45</v>
      </c>
      <c r="F345" s="359">
        <f t="shared" si="4"/>
        <v>2063.2545</v>
      </c>
      <c r="H345" s="350"/>
    </row>
    <row r="346" spans="1:8" ht="14.85" customHeight="1">
      <c r="A346" s="59"/>
      <c r="B346" s="277" t="s">
        <v>628</v>
      </c>
      <c r="C346" s="277" t="s">
        <v>315</v>
      </c>
      <c r="D346" s="60">
        <v>204.3998</v>
      </c>
      <c r="E346" s="60">
        <v>54</v>
      </c>
      <c r="F346" s="359">
        <f t="shared" si="4"/>
        <v>11037.5892</v>
      </c>
      <c r="H346" s="350"/>
    </row>
    <row r="347" spans="1:8" ht="14.85" customHeight="1">
      <c r="A347" s="59"/>
      <c r="B347" s="277" t="s">
        <v>355</v>
      </c>
      <c r="C347" s="277" t="s">
        <v>163</v>
      </c>
      <c r="D347" s="60">
        <v>10.3932</v>
      </c>
      <c r="E347" s="60">
        <v>18</v>
      </c>
      <c r="F347" s="359">
        <f t="shared" si="4"/>
        <v>187.07760000000002</v>
      </c>
      <c r="H347" s="350"/>
    </row>
    <row r="348" spans="1:8" ht="14.85" customHeight="1">
      <c r="A348" s="59"/>
      <c r="B348" s="277" t="s">
        <v>165</v>
      </c>
      <c r="C348" s="277" t="s">
        <v>163</v>
      </c>
      <c r="D348" s="60">
        <v>285.21089999999998</v>
      </c>
      <c r="E348" s="60">
        <v>12.290000000000001</v>
      </c>
      <c r="F348" s="359">
        <f t="shared" si="4"/>
        <v>3505.2419610000002</v>
      </c>
      <c r="H348" s="350"/>
    </row>
    <row r="349" spans="1:8" ht="14.85" customHeight="1">
      <c r="A349" s="59"/>
      <c r="B349" s="277" t="s">
        <v>312</v>
      </c>
      <c r="C349" s="277" t="s">
        <v>163</v>
      </c>
      <c r="D349" s="60">
        <v>181.79900000000001</v>
      </c>
      <c r="E349" s="60">
        <v>25</v>
      </c>
      <c r="F349" s="359">
        <f t="shared" si="4"/>
        <v>4544.9750000000004</v>
      </c>
      <c r="H349" s="350"/>
    </row>
    <row r="350" spans="1:8" ht="14.85" customHeight="1">
      <c r="A350" s="59"/>
      <c r="B350" s="277" t="s">
        <v>356</v>
      </c>
      <c r="C350" s="277" t="s">
        <v>163</v>
      </c>
      <c r="D350" s="60">
        <v>164.3184</v>
      </c>
      <c r="E350" s="60">
        <v>28</v>
      </c>
      <c r="F350" s="359">
        <f t="shared" si="4"/>
        <v>4600.9151999999995</v>
      </c>
      <c r="H350" s="350"/>
    </row>
    <row r="351" spans="1:8" ht="14.85" customHeight="1">
      <c r="A351" s="59"/>
      <c r="B351" s="277" t="s">
        <v>502</v>
      </c>
      <c r="C351" s="277" t="s">
        <v>163</v>
      </c>
      <c r="D351" s="60">
        <v>12.9033</v>
      </c>
      <c r="E351" s="60">
        <v>35</v>
      </c>
      <c r="F351" s="359">
        <f t="shared" ref="F351:F414" si="5">+D351*E351</f>
        <v>451.6155</v>
      </c>
      <c r="H351" s="350"/>
    </row>
    <row r="352" spans="1:8" ht="14.85" customHeight="1">
      <c r="A352" s="59"/>
      <c r="B352" s="277" t="s">
        <v>311</v>
      </c>
      <c r="C352" s="277" t="s">
        <v>163</v>
      </c>
      <c r="D352" s="60">
        <v>8.0180000000000007</v>
      </c>
      <c r="E352" s="60">
        <v>35</v>
      </c>
      <c r="F352" s="359">
        <f t="shared" si="5"/>
        <v>280.63</v>
      </c>
      <c r="H352" s="350"/>
    </row>
    <row r="353" spans="1:8" ht="14.85" customHeight="1">
      <c r="A353" s="59"/>
      <c r="B353" s="277" t="s">
        <v>503</v>
      </c>
      <c r="C353" s="277" t="s">
        <v>163</v>
      </c>
      <c r="D353" s="60">
        <v>1.1137999999999999</v>
      </c>
      <c r="E353" s="60">
        <v>45</v>
      </c>
      <c r="F353" s="359">
        <f t="shared" si="5"/>
        <v>50.120999999999995</v>
      </c>
      <c r="H353" s="350"/>
    </row>
    <row r="354" spans="1:8" ht="14.85" customHeight="1">
      <c r="A354" s="59"/>
      <c r="B354" s="277" t="s">
        <v>504</v>
      </c>
      <c r="C354" s="277" t="s">
        <v>163</v>
      </c>
      <c r="D354" s="60">
        <v>7.9059999999999997</v>
      </c>
      <c r="E354" s="60">
        <v>48</v>
      </c>
      <c r="F354" s="359">
        <f t="shared" si="5"/>
        <v>379.488</v>
      </c>
      <c r="H354" s="350"/>
    </row>
    <row r="355" spans="1:8" ht="14.85" customHeight="1">
      <c r="A355" s="59"/>
      <c r="B355" s="277" t="s">
        <v>505</v>
      </c>
      <c r="C355" s="277" t="s">
        <v>163</v>
      </c>
      <c r="D355" s="60">
        <v>111.1156</v>
      </c>
      <c r="E355" s="60">
        <v>48</v>
      </c>
      <c r="F355" s="359">
        <f t="shared" si="5"/>
        <v>5333.5488000000005</v>
      </c>
      <c r="H355" s="350"/>
    </row>
    <row r="356" spans="1:8" ht="14.85" customHeight="1">
      <c r="A356" s="59"/>
      <c r="B356" s="277" t="s">
        <v>310</v>
      </c>
      <c r="C356" s="277" t="s">
        <v>163</v>
      </c>
      <c r="D356" s="60">
        <v>23.7392</v>
      </c>
      <c r="E356" s="60">
        <v>38</v>
      </c>
      <c r="F356" s="359">
        <f t="shared" si="5"/>
        <v>902.08960000000002</v>
      </c>
      <c r="H356" s="350"/>
    </row>
    <row r="357" spans="1:8" ht="14.85" customHeight="1">
      <c r="A357" s="59"/>
      <c r="B357" s="277" t="s">
        <v>629</v>
      </c>
      <c r="C357" s="277" t="s">
        <v>163</v>
      </c>
      <c r="D357" s="60">
        <v>1.1721999999999999</v>
      </c>
      <c r="E357" s="60">
        <v>45</v>
      </c>
      <c r="F357" s="359">
        <f t="shared" si="5"/>
        <v>52.748999999999995</v>
      </c>
      <c r="H357" s="350"/>
    </row>
    <row r="358" spans="1:8" ht="14.85" customHeight="1">
      <c r="A358" s="59"/>
      <c r="B358" s="277" t="s">
        <v>506</v>
      </c>
      <c r="C358" s="277" t="s">
        <v>151</v>
      </c>
      <c r="D358" s="60">
        <v>6.2679</v>
      </c>
      <c r="E358" s="60">
        <v>350</v>
      </c>
      <c r="F358" s="359">
        <f t="shared" si="5"/>
        <v>2193.7649999999999</v>
      </c>
      <c r="H358" s="350"/>
    </row>
    <row r="359" spans="1:8" ht="14.85" customHeight="1">
      <c r="A359" s="59"/>
      <c r="B359" s="277" t="s">
        <v>507</v>
      </c>
      <c r="C359" s="277" t="s">
        <v>149</v>
      </c>
      <c r="D359" s="60">
        <v>5.9997999999999996</v>
      </c>
      <c r="E359" s="60">
        <v>65</v>
      </c>
      <c r="F359" s="359">
        <f t="shared" si="5"/>
        <v>389.98699999999997</v>
      </c>
      <c r="H359" s="350"/>
    </row>
    <row r="360" spans="1:8" ht="14.85" customHeight="1">
      <c r="A360" s="59"/>
      <c r="B360" s="277" t="s">
        <v>508</v>
      </c>
      <c r="C360" s="277" t="s">
        <v>315</v>
      </c>
      <c r="D360" s="60">
        <v>194.24969999999999</v>
      </c>
      <c r="E360" s="60">
        <v>3</v>
      </c>
      <c r="F360" s="359">
        <f t="shared" si="5"/>
        <v>582.7491</v>
      </c>
      <c r="H360" s="350"/>
    </row>
    <row r="361" spans="1:8" ht="14.85" customHeight="1">
      <c r="A361" s="59"/>
      <c r="B361" s="277" t="s">
        <v>630</v>
      </c>
      <c r="C361" s="277" t="s">
        <v>162</v>
      </c>
      <c r="D361" s="60">
        <v>55.639499999999998</v>
      </c>
      <c r="E361" s="60">
        <v>35</v>
      </c>
      <c r="F361" s="359">
        <f t="shared" si="5"/>
        <v>1947.3824999999999</v>
      </c>
      <c r="H361" s="350"/>
    </row>
    <row r="362" spans="1:8" ht="14.85" customHeight="1">
      <c r="A362" s="59"/>
      <c r="B362" s="277" t="s">
        <v>357</v>
      </c>
      <c r="C362" s="277" t="s">
        <v>151</v>
      </c>
      <c r="D362" s="60">
        <v>793.06569999999999</v>
      </c>
      <c r="E362" s="60">
        <v>30</v>
      </c>
      <c r="F362" s="359">
        <f t="shared" si="5"/>
        <v>23791.971000000001</v>
      </c>
      <c r="H362" s="350"/>
    </row>
    <row r="363" spans="1:8" ht="14.85" customHeight="1">
      <c r="A363" s="59"/>
      <c r="B363" s="277" t="s">
        <v>509</v>
      </c>
      <c r="C363" s="277" t="s">
        <v>297</v>
      </c>
      <c r="D363" s="60">
        <v>26.8156</v>
      </c>
      <c r="E363" s="60">
        <v>17</v>
      </c>
      <c r="F363" s="359">
        <f t="shared" si="5"/>
        <v>455.86520000000002</v>
      </c>
      <c r="H363" s="350"/>
    </row>
    <row r="364" spans="1:8" ht="14.85" customHeight="1">
      <c r="A364" s="59"/>
      <c r="B364" s="277" t="s">
        <v>510</v>
      </c>
      <c r="C364" s="277" t="s">
        <v>315</v>
      </c>
      <c r="D364" s="60">
        <v>201.86519999999999</v>
      </c>
      <c r="E364" s="60">
        <v>25</v>
      </c>
      <c r="F364" s="359">
        <f t="shared" si="5"/>
        <v>5046.63</v>
      </c>
      <c r="H364" s="350"/>
    </row>
    <row r="365" spans="1:8" ht="14.85" customHeight="1">
      <c r="A365" s="59"/>
      <c r="B365" s="277" t="s">
        <v>631</v>
      </c>
      <c r="C365" s="277" t="s">
        <v>315</v>
      </c>
      <c r="D365" s="60">
        <v>2</v>
      </c>
      <c r="E365" s="60">
        <v>42</v>
      </c>
      <c r="F365" s="359">
        <f t="shared" si="5"/>
        <v>84</v>
      </c>
      <c r="H365" s="350"/>
    </row>
    <row r="366" spans="1:8" ht="14.85" customHeight="1">
      <c r="A366" s="59"/>
      <c r="B366" s="277" t="s">
        <v>632</v>
      </c>
      <c r="C366" s="277" t="s">
        <v>162</v>
      </c>
      <c r="D366" s="60">
        <v>25.25</v>
      </c>
      <c r="E366" s="60">
        <v>22</v>
      </c>
      <c r="F366" s="359">
        <f t="shared" si="5"/>
        <v>555.5</v>
      </c>
      <c r="H366" s="350"/>
    </row>
    <row r="367" spans="1:8" ht="14.85" customHeight="1">
      <c r="A367" s="59"/>
      <c r="B367" s="277" t="s">
        <v>511</v>
      </c>
      <c r="C367" s="277" t="s">
        <v>162</v>
      </c>
      <c r="D367" s="60">
        <v>2</v>
      </c>
      <c r="E367" s="60">
        <v>12</v>
      </c>
      <c r="F367" s="359">
        <f t="shared" si="5"/>
        <v>24</v>
      </c>
      <c r="H367" s="350"/>
    </row>
    <row r="368" spans="1:8" ht="14.85" customHeight="1">
      <c r="A368" s="59"/>
      <c r="B368" s="277" t="s">
        <v>633</v>
      </c>
      <c r="C368" s="277" t="s">
        <v>162</v>
      </c>
      <c r="D368" s="60">
        <v>1</v>
      </c>
      <c r="E368" s="60">
        <v>48</v>
      </c>
      <c r="F368" s="359">
        <f t="shared" si="5"/>
        <v>48</v>
      </c>
      <c r="H368" s="350"/>
    </row>
    <row r="369" spans="1:8" ht="14.85" customHeight="1">
      <c r="A369" s="59"/>
      <c r="B369" s="277" t="s">
        <v>358</v>
      </c>
      <c r="C369" s="277" t="s">
        <v>162</v>
      </c>
      <c r="D369" s="60">
        <v>8</v>
      </c>
      <c r="E369" s="60">
        <v>5</v>
      </c>
      <c r="F369" s="359">
        <f t="shared" si="5"/>
        <v>40</v>
      </c>
      <c r="H369" s="350"/>
    </row>
    <row r="370" spans="1:8" ht="14.85" customHeight="1">
      <c r="A370" s="59"/>
      <c r="B370" s="277" t="s">
        <v>512</v>
      </c>
      <c r="C370" s="277" t="s">
        <v>162</v>
      </c>
      <c r="D370" s="60">
        <v>12</v>
      </c>
      <c r="E370" s="60">
        <v>3.5</v>
      </c>
      <c r="F370" s="359">
        <f t="shared" si="5"/>
        <v>42</v>
      </c>
      <c r="H370" s="350"/>
    </row>
    <row r="371" spans="1:8" ht="14.85" customHeight="1">
      <c r="A371" s="59"/>
      <c r="B371" s="277" t="s">
        <v>513</v>
      </c>
      <c r="C371" s="277" t="s">
        <v>151</v>
      </c>
      <c r="D371" s="60">
        <v>20.954899999999999</v>
      </c>
      <c r="E371" s="60">
        <v>8</v>
      </c>
      <c r="F371" s="359">
        <f t="shared" si="5"/>
        <v>167.63919999999999</v>
      </c>
      <c r="H371" s="350"/>
    </row>
    <row r="372" spans="1:8" ht="14.85" customHeight="1">
      <c r="A372" s="59"/>
      <c r="B372" s="277" t="s">
        <v>514</v>
      </c>
      <c r="C372" s="277" t="s">
        <v>162</v>
      </c>
      <c r="D372" s="60">
        <v>3</v>
      </c>
      <c r="E372" s="60">
        <v>7</v>
      </c>
      <c r="F372" s="359">
        <f t="shared" si="5"/>
        <v>21</v>
      </c>
      <c r="H372" s="350"/>
    </row>
    <row r="373" spans="1:8" ht="14.85" customHeight="1">
      <c r="A373" s="59"/>
      <c r="B373" s="277" t="s">
        <v>515</v>
      </c>
      <c r="C373" s="277" t="s">
        <v>151</v>
      </c>
      <c r="D373" s="60">
        <v>2</v>
      </c>
      <c r="E373" s="60">
        <v>5</v>
      </c>
      <c r="F373" s="359">
        <f t="shared" si="5"/>
        <v>10</v>
      </c>
      <c r="H373" s="350"/>
    </row>
    <row r="374" spans="1:8" ht="14.85" customHeight="1">
      <c r="A374" s="59"/>
      <c r="B374" s="277" t="s">
        <v>516</v>
      </c>
      <c r="C374" s="277" t="s">
        <v>151</v>
      </c>
      <c r="D374" s="60">
        <v>6.4999000000000002</v>
      </c>
      <c r="E374" s="60">
        <v>150</v>
      </c>
      <c r="F374" s="359">
        <f t="shared" si="5"/>
        <v>974.98500000000001</v>
      </c>
      <c r="H374" s="350"/>
    </row>
    <row r="375" spans="1:8" ht="14.85" customHeight="1">
      <c r="A375" s="59"/>
      <c r="B375" s="277" t="s">
        <v>517</v>
      </c>
      <c r="C375" s="277" t="s">
        <v>162</v>
      </c>
      <c r="D375" s="60">
        <v>6.7599</v>
      </c>
      <c r="E375" s="60">
        <v>148</v>
      </c>
      <c r="F375" s="359">
        <f t="shared" si="5"/>
        <v>1000.4652</v>
      </c>
      <c r="H375" s="350"/>
    </row>
    <row r="376" spans="1:8" ht="14.85" customHeight="1">
      <c r="A376" s="59"/>
      <c r="B376" s="277" t="s">
        <v>634</v>
      </c>
      <c r="C376" s="277" t="s">
        <v>315</v>
      </c>
      <c r="D376" s="60">
        <v>21.0001</v>
      </c>
      <c r="E376" s="60">
        <v>20</v>
      </c>
      <c r="F376" s="359">
        <f t="shared" si="5"/>
        <v>420.00200000000001</v>
      </c>
      <c r="H376" s="350"/>
    </row>
    <row r="377" spans="1:8" ht="14.85" customHeight="1">
      <c r="A377" s="59"/>
      <c r="B377" s="277" t="s">
        <v>635</v>
      </c>
      <c r="C377" s="277" t="s">
        <v>162</v>
      </c>
      <c r="D377" s="60">
        <v>39.999899999999997</v>
      </c>
      <c r="E377" s="60">
        <v>12</v>
      </c>
      <c r="F377" s="359">
        <f t="shared" si="5"/>
        <v>479.99879999999996</v>
      </c>
      <c r="H377" s="350"/>
    </row>
    <row r="378" spans="1:8" ht="14.85" customHeight="1">
      <c r="A378" s="59"/>
      <c r="B378" s="277" t="s">
        <v>518</v>
      </c>
      <c r="C378" s="277" t="s">
        <v>162</v>
      </c>
      <c r="D378" s="60">
        <v>2</v>
      </c>
      <c r="E378" s="60">
        <v>12</v>
      </c>
      <c r="F378" s="359">
        <f t="shared" si="5"/>
        <v>24</v>
      </c>
      <c r="H378" s="350"/>
    </row>
    <row r="379" spans="1:8" ht="14.85" customHeight="1">
      <c r="A379" s="59"/>
      <c r="B379" s="277" t="s">
        <v>519</v>
      </c>
      <c r="C379" s="277" t="s">
        <v>162</v>
      </c>
      <c r="D379" s="60">
        <v>6</v>
      </c>
      <c r="E379" s="60">
        <v>5</v>
      </c>
      <c r="F379" s="359">
        <f t="shared" si="5"/>
        <v>30</v>
      </c>
      <c r="H379" s="350"/>
    </row>
    <row r="380" spans="1:8" ht="14.85" customHeight="1">
      <c r="A380" s="59"/>
      <c r="B380" s="277" t="s">
        <v>520</v>
      </c>
      <c r="C380" s="277" t="s">
        <v>162</v>
      </c>
      <c r="D380" s="60">
        <v>96</v>
      </c>
      <c r="E380" s="60">
        <v>25</v>
      </c>
      <c r="F380" s="359">
        <f t="shared" si="5"/>
        <v>2400</v>
      </c>
      <c r="H380" s="350"/>
    </row>
    <row r="381" spans="1:8" ht="14.85" customHeight="1">
      <c r="A381" s="59"/>
      <c r="B381" s="277" t="s">
        <v>521</v>
      </c>
      <c r="C381" s="277" t="s">
        <v>315</v>
      </c>
      <c r="D381" s="60">
        <v>188.9999</v>
      </c>
      <c r="E381" s="60">
        <v>25</v>
      </c>
      <c r="F381" s="359">
        <f t="shared" si="5"/>
        <v>4724.9974999999995</v>
      </c>
      <c r="H381" s="350"/>
    </row>
    <row r="382" spans="1:8" ht="14.85" customHeight="1">
      <c r="A382" s="59"/>
      <c r="B382" s="277" t="s">
        <v>522</v>
      </c>
      <c r="C382" s="277" t="s">
        <v>315</v>
      </c>
      <c r="D382" s="60">
        <v>310.02780000000001</v>
      </c>
      <c r="E382" s="60">
        <v>12</v>
      </c>
      <c r="F382" s="359">
        <f t="shared" si="5"/>
        <v>3720.3335999999999</v>
      </c>
      <c r="H382" s="350"/>
    </row>
    <row r="383" spans="1:8" ht="14.85" customHeight="1">
      <c r="A383" s="59"/>
      <c r="B383" s="277" t="s">
        <v>523</v>
      </c>
      <c r="C383" s="277" t="s">
        <v>162</v>
      </c>
      <c r="D383" s="60">
        <v>5.9999000000000002</v>
      </c>
      <c r="E383" s="60">
        <v>125</v>
      </c>
      <c r="F383" s="359">
        <f t="shared" si="5"/>
        <v>749.98750000000007</v>
      </c>
      <c r="H383" s="350"/>
    </row>
    <row r="384" spans="1:8" ht="14.85" customHeight="1">
      <c r="A384" s="59"/>
      <c r="B384" s="277" t="s">
        <v>524</v>
      </c>
      <c r="C384" s="277" t="s">
        <v>315</v>
      </c>
      <c r="D384" s="60">
        <v>72.733599999999996</v>
      </c>
      <c r="E384" s="60">
        <v>25</v>
      </c>
      <c r="F384" s="359">
        <f t="shared" si="5"/>
        <v>1818.34</v>
      </c>
      <c r="H384" s="350"/>
    </row>
    <row r="385" spans="1:8" ht="14.85" customHeight="1">
      <c r="A385" s="59"/>
      <c r="B385" s="277" t="s">
        <v>525</v>
      </c>
      <c r="C385" s="277" t="s">
        <v>162</v>
      </c>
      <c r="D385" s="60">
        <v>25</v>
      </c>
      <c r="E385" s="60">
        <v>2</v>
      </c>
      <c r="F385" s="359">
        <f t="shared" si="5"/>
        <v>50</v>
      </c>
      <c r="H385" s="350"/>
    </row>
    <row r="386" spans="1:8" ht="14.85" customHeight="1">
      <c r="A386" s="59"/>
      <c r="B386" s="277" t="s">
        <v>526</v>
      </c>
      <c r="C386" s="277" t="s">
        <v>162</v>
      </c>
      <c r="D386" s="60">
        <v>92.499899999999997</v>
      </c>
      <c r="E386" s="60">
        <v>0.5</v>
      </c>
      <c r="F386" s="359">
        <f t="shared" si="5"/>
        <v>46.249949999999998</v>
      </c>
      <c r="H386" s="350"/>
    </row>
    <row r="387" spans="1:8" ht="14.85" customHeight="1">
      <c r="A387" s="59"/>
      <c r="B387" s="277" t="s">
        <v>359</v>
      </c>
      <c r="C387" s="277" t="s">
        <v>315</v>
      </c>
      <c r="D387" s="60">
        <v>133.49619999999999</v>
      </c>
      <c r="E387" s="60">
        <v>4</v>
      </c>
      <c r="F387" s="359">
        <f t="shared" si="5"/>
        <v>533.98479999999995</v>
      </c>
      <c r="H387" s="350"/>
    </row>
    <row r="388" spans="1:8" ht="14.85" customHeight="1">
      <c r="A388" s="59"/>
      <c r="B388" s="277" t="s">
        <v>527</v>
      </c>
      <c r="C388" s="277" t="s">
        <v>315</v>
      </c>
      <c r="D388" s="60">
        <v>70.9619</v>
      </c>
      <c r="E388" s="60">
        <v>6</v>
      </c>
      <c r="F388" s="359">
        <f t="shared" si="5"/>
        <v>425.77139999999997</v>
      </c>
      <c r="H388" s="350"/>
    </row>
    <row r="389" spans="1:8" ht="14.85" customHeight="1">
      <c r="A389" s="59"/>
      <c r="B389" s="277" t="s">
        <v>360</v>
      </c>
      <c r="C389" s="277" t="s">
        <v>162</v>
      </c>
      <c r="D389" s="60">
        <v>6.9999000000000002</v>
      </c>
      <c r="E389" s="60">
        <v>3</v>
      </c>
      <c r="F389" s="359">
        <f t="shared" si="5"/>
        <v>20.999700000000001</v>
      </c>
      <c r="H389" s="350"/>
    </row>
    <row r="390" spans="1:8" ht="14.85" customHeight="1">
      <c r="A390" s="59"/>
      <c r="B390" s="277" t="s">
        <v>528</v>
      </c>
      <c r="C390" s="277" t="s">
        <v>162</v>
      </c>
      <c r="D390" s="60">
        <v>70.614999999999995</v>
      </c>
      <c r="E390" s="60">
        <v>3</v>
      </c>
      <c r="F390" s="359">
        <f t="shared" si="5"/>
        <v>211.84499999999997</v>
      </c>
      <c r="H390" s="350"/>
    </row>
    <row r="391" spans="1:8" ht="14.85" customHeight="1">
      <c r="A391" s="59"/>
      <c r="B391" s="277" t="s">
        <v>529</v>
      </c>
      <c r="C391" s="277" t="s">
        <v>162</v>
      </c>
      <c r="D391" s="60">
        <v>6.9999000000000002</v>
      </c>
      <c r="E391" s="60">
        <v>5</v>
      </c>
      <c r="F391" s="359">
        <f t="shared" si="5"/>
        <v>34.999499999999998</v>
      </c>
      <c r="H391" s="350"/>
    </row>
    <row r="392" spans="1:8" ht="14.85" customHeight="1">
      <c r="A392" s="59"/>
      <c r="B392" s="277" t="s">
        <v>530</v>
      </c>
      <c r="C392" s="277" t="s">
        <v>162</v>
      </c>
      <c r="D392" s="60">
        <v>1.5786</v>
      </c>
      <c r="E392" s="60">
        <v>7</v>
      </c>
      <c r="F392" s="359">
        <f t="shared" si="5"/>
        <v>11.0502</v>
      </c>
      <c r="H392" s="350"/>
    </row>
    <row r="393" spans="1:8" ht="14.85" customHeight="1">
      <c r="A393" s="59"/>
      <c r="B393" s="277" t="s">
        <v>531</v>
      </c>
      <c r="C393" s="277" t="s">
        <v>162</v>
      </c>
      <c r="D393" s="60">
        <v>462.50009999999997</v>
      </c>
      <c r="E393" s="60">
        <v>0.5</v>
      </c>
      <c r="F393" s="359">
        <f t="shared" si="5"/>
        <v>231.25004999999999</v>
      </c>
      <c r="H393" s="350"/>
    </row>
    <row r="394" spans="1:8" ht="14.85" customHeight="1">
      <c r="A394" s="59"/>
      <c r="B394" s="277" t="s">
        <v>636</v>
      </c>
      <c r="C394" s="277" t="s">
        <v>162</v>
      </c>
      <c r="D394" s="60">
        <v>286.49650000000003</v>
      </c>
      <c r="E394" s="60">
        <v>4.2</v>
      </c>
      <c r="F394" s="359">
        <f t="shared" si="5"/>
        <v>1203.2853000000002</v>
      </c>
      <c r="H394" s="350"/>
    </row>
    <row r="395" spans="1:8" ht="14.85" customHeight="1">
      <c r="A395" s="59"/>
      <c r="B395" s="277" t="s">
        <v>637</v>
      </c>
      <c r="C395" s="277" t="s">
        <v>162</v>
      </c>
      <c r="D395" s="60">
        <v>204.6397</v>
      </c>
      <c r="E395" s="60">
        <v>0.5</v>
      </c>
      <c r="F395" s="359">
        <f t="shared" si="5"/>
        <v>102.31985</v>
      </c>
      <c r="H395" s="350"/>
    </row>
    <row r="396" spans="1:8" ht="14.85" customHeight="1">
      <c r="A396" s="59"/>
      <c r="B396" s="277" t="s">
        <v>532</v>
      </c>
      <c r="C396" s="277" t="s">
        <v>162</v>
      </c>
      <c r="D396" s="60">
        <v>909.99980000000005</v>
      </c>
      <c r="E396" s="60">
        <v>0.5</v>
      </c>
      <c r="F396" s="359">
        <f t="shared" si="5"/>
        <v>454.99990000000003</v>
      </c>
      <c r="H396" s="350"/>
    </row>
    <row r="397" spans="1:8" ht="14.85" customHeight="1">
      <c r="A397" s="59"/>
      <c r="B397" s="277" t="s">
        <v>533</v>
      </c>
      <c r="C397" s="277" t="s">
        <v>162</v>
      </c>
      <c r="D397" s="60">
        <v>2.5</v>
      </c>
      <c r="E397" s="60">
        <v>1.5</v>
      </c>
      <c r="F397" s="359">
        <f t="shared" si="5"/>
        <v>3.75</v>
      </c>
      <c r="H397" s="350"/>
    </row>
    <row r="398" spans="1:8" ht="14.85" customHeight="1">
      <c r="A398" s="59"/>
      <c r="B398" s="277" t="s">
        <v>534</v>
      </c>
      <c r="C398" s="277" t="s">
        <v>162</v>
      </c>
      <c r="D398" s="60">
        <v>6.3129999999999997</v>
      </c>
      <c r="E398" s="60">
        <v>8</v>
      </c>
      <c r="F398" s="359">
        <f t="shared" si="5"/>
        <v>50.503999999999998</v>
      </c>
      <c r="H398" s="350"/>
    </row>
    <row r="399" spans="1:8" ht="14.85" customHeight="1">
      <c r="A399" s="59"/>
      <c r="B399" s="277" t="s">
        <v>535</v>
      </c>
      <c r="C399" s="277" t="s">
        <v>162</v>
      </c>
      <c r="D399" s="60">
        <v>13.392300000000001</v>
      </c>
      <c r="E399" s="60">
        <v>7.5</v>
      </c>
      <c r="F399" s="359">
        <f t="shared" si="5"/>
        <v>100.44225</v>
      </c>
      <c r="H399" s="350"/>
    </row>
    <row r="400" spans="1:8" ht="14.85" customHeight="1">
      <c r="A400" s="59"/>
      <c r="B400" s="277" t="s">
        <v>638</v>
      </c>
      <c r="C400" s="277" t="s">
        <v>151</v>
      </c>
      <c r="D400" s="60">
        <v>4.2</v>
      </c>
      <c r="E400" s="60">
        <v>20</v>
      </c>
      <c r="F400" s="359">
        <f t="shared" si="5"/>
        <v>84</v>
      </c>
      <c r="H400" s="350"/>
    </row>
    <row r="401" spans="1:8" ht="14.85" customHeight="1">
      <c r="A401" s="59"/>
      <c r="B401" s="277" t="s">
        <v>536</v>
      </c>
      <c r="C401" s="277" t="s">
        <v>315</v>
      </c>
      <c r="D401" s="60">
        <v>55.4998</v>
      </c>
      <c r="E401" s="60">
        <v>4</v>
      </c>
      <c r="F401" s="359">
        <f t="shared" si="5"/>
        <v>221.9992</v>
      </c>
      <c r="H401" s="350"/>
    </row>
    <row r="402" spans="1:8" ht="14.85" customHeight="1">
      <c r="A402" s="59"/>
      <c r="B402" s="277" t="s">
        <v>537</v>
      </c>
      <c r="C402" s="277" t="s">
        <v>315</v>
      </c>
      <c r="D402" s="60">
        <v>117.1152</v>
      </c>
      <c r="E402" s="60">
        <v>6</v>
      </c>
      <c r="F402" s="359">
        <f t="shared" si="5"/>
        <v>702.69119999999998</v>
      </c>
      <c r="H402" s="350"/>
    </row>
    <row r="403" spans="1:8" ht="14.85" customHeight="1">
      <c r="A403" s="59"/>
      <c r="B403" s="277" t="s">
        <v>538</v>
      </c>
      <c r="C403" s="277" t="s">
        <v>151</v>
      </c>
      <c r="D403" s="60">
        <v>3</v>
      </c>
      <c r="E403" s="60">
        <v>3</v>
      </c>
      <c r="F403" s="359">
        <f t="shared" si="5"/>
        <v>9</v>
      </c>
      <c r="H403" s="350"/>
    </row>
    <row r="404" spans="1:8" ht="14.85" customHeight="1">
      <c r="A404" s="59"/>
      <c r="B404" s="277" t="s">
        <v>639</v>
      </c>
      <c r="C404" s="277" t="s">
        <v>162</v>
      </c>
      <c r="D404" s="60">
        <v>3.9998</v>
      </c>
      <c r="E404" s="60">
        <v>20</v>
      </c>
      <c r="F404" s="359">
        <f t="shared" si="5"/>
        <v>79.995999999999995</v>
      </c>
      <c r="H404" s="350"/>
    </row>
    <row r="405" spans="1:8" ht="14.85" customHeight="1">
      <c r="A405" s="59"/>
      <c r="B405" s="277" t="s">
        <v>361</v>
      </c>
      <c r="C405" s="277" t="s">
        <v>151</v>
      </c>
      <c r="D405" s="60">
        <v>9.3000000000000007</v>
      </c>
      <c r="E405" s="60">
        <v>7</v>
      </c>
      <c r="F405" s="359">
        <f t="shared" si="5"/>
        <v>65.100000000000009</v>
      </c>
      <c r="H405" s="350"/>
    </row>
    <row r="406" spans="1:8" ht="14.85" customHeight="1">
      <c r="A406" s="59"/>
      <c r="B406" s="277" t="s">
        <v>539</v>
      </c>
      <c r="C406" s="277" t="s">
        <v>151</v>
      </c>
      <c r="D406" s="60">
        <v>424.19990000000001</v>
      </c>
      <c r="E406" s="60">
        <v>7</v>
      </c>
      <c r="F406" s="359">
        <f t="shared" si="5"/>
        <v>2969.3993</v>
      </c>
      <c r="H406" s="350"/>
    </row>
    <row r="407" spans="1:8" ht="14.85" customHeight="1">
      <c r="A407" s="59"/>
      <c r="B407" s="277" t="s">
        <v>540</v>
      </c>
      <c r="C407" s="277" t="s">
        <v>151</v>
      </c>
      <c r="D407" s="60">
        <v>131.74440000000001</v>
      </c>
      <c r="E407" s="60">
        <v>2.5</v>
      </c>
      <c r="F407" s="359">
        <f t="shared" si="5"/>
        <v>329.36100000000005</v>
      </c>
      <c r="H407" s="350"/>
    </row>
    <row r="408" spans="1:8" ht="14.85" customHeight="1">
      <c r="A408" s="59"/>
      <c r="B408" s="277" t="s">
        <v>541</v>
      </c>
      <c r="C408" s="277" t="s">
        <v>151</v>
      </c>
      <c r="D408" s="60">
        <v>403.95949999999999</v>
      </c>
      <c r="E408" s="60">
        <v>3</v>
      </c>
      <c r="F408" s="359">
        <f t="shared" si="5"/>
        <v>1211.8785</v>
      </c>
      <c r="H408" s="350"/>
    </row>
    <row r="409" spans="1:8" ht="14.85" customHeight="1">
      <c r="A409" s="59"/>
      <c r="B409" s="277" t="s">
        <v>542</v>
      </c>
      <c r="C409" s="277" t="s">
        <v>151</v>
      </c>
      <c r="D409" s="60">
        <v>256.00049999999999</v>
      </c>
      <c r="E409" s="60">
        <v>1</v>
      </c>
      <c r="F409" s="359">
        <f t="shared" si="5"/>
        <v>256.00049999999999</v>
      </c>
      <c r="H409" s="350"/>
    </row>
    <row r="410" spans="1:8" ht="14.85" customHeight="1">
      <c r="A410" s="59"/>
      <c r="B410" s="277" t="s">
        <v>543</v>
      </c>
      <c r="C410" s="277" t="s">
        <v>151</v>
      </c>
      <c r="D410" s="60">
        <v>195.0008</v>
      </c>
      <c r="E410" s="60">
        <v>7</v>
      </c>
      <c r="F410" s="359">
        <f t="shared" si="5"/>
        <v>1365.0056</v>
      </c>
      <c r="H410" s="350"/>
    </row>
    <row r="411" spans="1:8" ht="14.85" customHeight="1">
      <c r="A411" s="59"/>
      <c r="B411" s="277" t="s">
        <v>544</v>
      </c>
      <c r="C411" s="277" t="s">
        <v>151</v>
      </c>
      <c r="D411" s="60">
        <v>127.9995</v>
      </c>
      <c r="E411" s="60">
        <v>0.5</v>
      </c>
      <c r="F411" s="359">
        <f t="shared" si="5"/>
        <v>63.999749999999999</v>
      </c>
      <c r="H411" s="350"/>
    </row>
    <row r="412" spans="1:8" ht="14.85" customHeight="1">
      <c r="A412" s="59"/>
      <c r="B412" s="277" t="s">
        <v>545</v>
      </c>
      <c r="C412" s="277" t="s">
        <v>151</v>
      </c>
      <c r="D412" s="60">
        <v>6</v>
      </c>
      <c r="E412" s="60">
        <v>2.5</v>
      </c>
      <c r="F412" s="359">
        <f t="shared" si="5"/>
        <v>15</v>
      </c>
      <c r="H412" s="350"/>
    </row>
    <row r="413" spans="1:8" ht="14.85" customHeight="1">
      <c r="A413" s="59"/>
      <c r="B413" s="277" t="s">
        <v>546</v>
      </c>
      <c r="C413" s="277" t="s">
        <v>151</v>
      </c>
      <c r="D413" s="60">
        <v>6</v>
      </c>
      <c r="E413" s="60">
        <v>1</v>
      </c>
      <c r="F413" s="359">
        <f t="shared" si="5"/>
        <v>6</v>
      </c>
      <c r="H413" s="350"/>
    </row>
    <row r="414" spans="1:8" ht="14.85" customHeight="1">
      <c r="A414" s="59"/>
      <c r="B414" s="277" t="s">
        <v>547</v>
      </c>
      <c r="C414" s="277" t="s">
        <v>162</v>
      </c>
      <c r="D414" s="60">
        <v>6</v>
      </c>
      <c r="E414" s="60">
        <v>28</v>
      </c>
      <c r="F414" s="359">
        <f t="shared" si="5"/>
        <v>168</v>
      </c>
      <c r="H414" s="350"/>
    </row>
    <row r="415" spans="1:8" ht="14.85" customHeight="1">
      <c r="A415" s="59"/>
      <c r="B415" s="277" t="s">
        <v>640</v>
      </c>
      <c r="C415" s="277" t="s">
        <v>162</v>
      </c>
      <c r="D415" s="60">
        <v>3.55</v>
      </c>
      <c r="E415" s="60">
        <v>28</v>
      </c>
      <c r="F415" s="359">
        <f t="shared" ref="F415:F433" si="6">+D415*E415</f>
        <v>99.399999999999991</v>
      </c>
      <c r="H415" s="350"/>
    </row>
    <row r="416" spans="1:8" ht="14.85" customHeight="1">
      <c r="A416" s="59"/>
      <c r="B416" s="277" t="s">
        <v>641</v>
      </c>
      <c r="C416" s="277" t="s">
        <v>162</v>
      </c>
      <c r="D416" s="60">
        <v>3</v>
      </c>
      <c r="E416" s="60">
        <v>26</v>
      </c>
      <c r="F416" s="359">
        <f t="shared" si="6"/>
        <v>78</v>
      </c>
      <c r="H416" s="350"/>
    </row>
    <row r="417" spans="1:8" ht="14.85" customHeight="1">
      <c r="A417" s="59"/>
      <c r="B417" s="277" t="s">
        <v>548</v>
      </c>
      <c r="C417" s="277" t="s">
        <v>162</v>
      </c>
      <c r="D417" s="60">
        <v>1</v>
      </c>
      <c r="E417" s="60">
        <v>35</v>
      </c>
      <c r="F417" s="359">
        <f t="shared" si="6"/>
        <v>35</v>
      </c>
      <c r="H417" s="350"/>
    </row>
    <row r="418" spans="1:8" ht="14.85" customHeight="1">
      <c r="A418" s="59"/>
      <c r="B418" s="277" t="s">
        <v>642</v>
      </c>
      <c r="C418" s="277" t="s">
        <v>162</v>
      </c>
      <c r="D418" s="60">
        <v>2.0001000000000002</v>
      </c>
      <c r="E418" s="60">
        <v>30</v>
      </c>
      <c r="F418" s="359">
        <f t="shared" si="6"/>
        <v>60.003000000000007</v>
      </c>
      <c r="H418" s="350"/>
    </row>
    <row r="419" spans="1:8" ht="14.85" customHeight="1">
      <c r="A419" s="59"/>
      <c r="B419" s="277" t="s">
        <v>549</v>
      </c>
      <c r="C419" s="277" t="s">
        <v>150</v>
      </c>
      <c r="D419" s="60">
        <v>189.47239999999999</v>
      </c>
      <c r="E419" s="60">
        <v>3.9</v>
      </c>
      <c r="F419" s="359">
        <f t="shared" si="6"/>
        <v>738.94236000000001</v>
      </c>
      <c r="H419" s="350"/>
    </row>
    <row r="420" spans="1:8" ht="14.85" customHeight="1">
      <c r="A420" s="59"/>
      <c r="B420" s="277" t="s">
        <v>550</v>
      </c>
      <c r="C420" s="277" t="s">
        <v>150</v>
      </c>
      <c r="D420" s="60">
        <v>2066.4301999999998</v>
      </c>
      <c r="E420" s="60">
        <v>10.200000000000001</v>
      </c>
      <c r="F420" s="359">
        <f t="shared" si="6"/>
        <v>21077.588039999999</v>
      </c>
      <c r="H420" s="350"/>
    </row>
    <row r="421" spans="1:8" ht="14.85" customHeight="1">
      <c r="A421" s="59"/>
      <c r="B421" s="277" t="s">
        <v>551</v>
      </c>
      <c r="C421" s="277" t="s">
        <v>162</v>
      </c>
      <c r="D421" s="60">
        <v>5</v>
      </c>
      <c r="E421" s="60">
        <v>36</v>
      </c>
      <c r="F421" s="359">
        <f t="shared" si="6"/>
        <v>180</v>
      </c>
      <c r="H421" s="350"/>
    </row>
    <row r="422" spans="1:8" ht="14.85" customHeight="1">
      <c r="A422" s="59"/>
      <c r="B422" s="277" t="s">
        <v>552</v>
      </c>
      <c r="C422" s="277" t="s">
        <v>162</v>
      </c>
      <c r="D422" s="60">
        <v>3</v>
      </c>
      <c r="E422" s="60">
        <v>3</v>
      </c>
      <c r="F422" s="359">
        <f t="shared" si="6"/>
        <v>9</v>
      </c>
      <c r="H422" s="350"/>
    </row>
    <row r="423" spans="1:8" ht="14.85" customHeight="1">
      <c r="A423" s="59"/>
      <c r="B423" s="277" t="s">
        <v>553</v>
      </c>
      <c r="C423" s="277" t="s">
        <v>162</v>
      </c>
      <c r="D423" s="60">
        <v>86.049899999999994</v>
      </c>
      <c r="E423" s="60">
        <v>3</v>
      </c>
      <c r="F423" s="359">
        <f t="shared" si="6"/>
        <v>258.1497</v>
      </c>
      <c r="H423" s="350"/>
    </row>
    <row r="424" spans="1:8" ht="14.85" customHeight="1">
      <c r="A424" s="59"/>
      <c r="B424" s="277" t="s">
        <v>554</v>
      </c>
      <c r="C424" s="277" t="s">
        <v>162</v>
      </c>
      <c r="D424" s="60">
        <v>151.87</v>
      </c>
      <c r="E424" s="60">
        <v>5</v>
      </c>
      <c r="F424" s="359">
        <f t="shared" si="6"/>
        <v>759.35</v>
      </c>
      <c r="H424" s="350"/>
    </row>
    <row r="425" spans="1:8" ht="14.85" customHeight="1">
      <c r="A425" s="59"/>
      <c r="B425" s="277" t="s">
        <v>555</v>
      </c>
      <c r="C425" s="277" t="s">
        <v>162</v>
      </c>
      <c r="D425" s="60">
        <v>76.8249</v>
      </c>
      <c r="E425" s="60">
        <v>6</v>
      </c>
      <c r="F425" s="359">
        <f t="shared" si="6"/>
        <v>460.94939999999997</v>
      </c>
      <c r="H425" s="350"/>
    </row>
    <row r="426" spans="1:8" ht="14.85" customHeight="1">
      <c r="A426" s="59"/>
      <c r="B426" s="277" t="s">
        <v>556</v>
      </c>
      <c r="C426" s="277" t="s">
        <v>162</v>
      </c>
      <c r="D426" s="60">
        <v>86.049899999999994</v>
      </c>
      <c r="E426" s="60">
        <v>2</v>
      </c>
      <c r="F426" s="359">
        <f t="shared" si="6"/>
        <v>172.09979999999999</v>
      </c>
      <c r="H426" s="350"/>
    </row>
    <row r="427" spans="1:8" ht="14.85" customHeight="1">
      <c r="A427" s="59"/>
      <c r="B427" s="277" t="s">
        <v>557</v>
      </c>
      <c r="C427" s="277" t="s">
        <v>9</v>
      </c>
      <c r="D427" s="60">
        <v>1</v>
      </c>
      <c r="E427" s="60">
        <v>5725</v>
      </c>
      <c r="F427" s="359">
        <f t="shared" si="6"/>
        <v>5725</v>
      </c>
      <c r="H427" s="350"/>
    </row>
    <row r="428" spans="1:8" ht="14.85" customHeight="1">
      <c r="A428" s="59"/>
      <c r="B428" s="277" t="s">
        <v>558</v>
      </c>
      <c r="C428" s="277" t="s">
        <v>9</v>
      </c>
      <c r="D428" s="60">
        <v>1</v>
      </c>
      <c r="E428" s="60">
        <v>900</v>
      </c>
      <c r="F428" s="359">
        <f t="shared" si="6"/>
        <v>900</v>
      </c>
      <c r="H428" s="350"/>
    </row>
    <row r="429" spans="1:8" ht="14.85" customHeight="1">
      <c r="A429" s="59"/>
      <c r="B429" s="277" t="s">
        <v>559</v>
      </c>
      <c r="C429" s="277" t="s">
        <v>9</v>
      </c>
      <c r="D429" s="60">
        <v>1</v>
      </c>
      <c r="E429" s="60">
        <v>1105</v>
      </c>
      <c r="F429" s="359">
        <f t="shared" si="6"/>
        <v>1105</v>
      </c>
      <c r="H429" s="350"/>
    </row>
    <row r="430" spans="1:8" ht="14.85" customHeight="1">
      <c r="A430" s="59"/>
      <c r="B430" s="277" t="s">
        <v>560</v>
      </c>
      <c r="C430" s="277" t="s">
        <v>9</v>
      </c>
      <c r="D430" s="60">
        <v>1</v>
      </c>
      <c r="E430" s="60">
        <v>2800</v>
      </c>
      <c r="F430" s="359">
        <f t="shared" si="6"/>
        <v>2800</v>
      </c>
      <c r="H430" s="350"/>
    </row>
    <row r="431" spans="1:8" ht="14.85" customHeight="1">
      <c r="A431" s="59"/>
      <c r="B431" s="277" t="s">
        <v>643</v>
      </c>
      <c r="C431" s="277" t="s">
        <v>9</v>
      </c>
      <c r="D431" s="60">
        <v>1</v>
      </c>
      <c r="E431" s="60">
        <v>1550</v>
      </c>
      <c r="F431" s="359">
        <f t="shared" si="6"/>
        <v>1550</v>
      </c>
      <c r="H431" s="350"/>
    </row>
    <row r="432" spans="1:8" ht="14.85" customHeight="1">
      <c r="A432" s="59"/>
      <c r="B432" s="277" t="s">
        <v>644</v>
      </c>
      <c r="C432" s="277" t="s">
        <v>9</v>
      </c>
      <c r="D432" s="60">
        <v>1</v>
      </c>
      <c r="E432" s="60">
        <v>2650</v>
      </c>
      <c r="F432" s="359">
        <f t="shared" si="6"/>
        <v>2650</v>
      </c>
      <c r="H432" s="350"/>
    </row>
    <row r="433" spans="1:8" ht="14.85" customHeight="1">
      <c r="A433" s="59"/>
      <c r="B433" s="277" t="s">
        <v>645</v>
      </c>
      <c r="C433" s="277" t="s">
        <v>9</v>
      </c>
      <c r="D433" s="60">
        <v>2.0001000000000002</v>
      </c>
      <c r="E433" s="60">
        <v>350</v>
      </c>
      <c r="F433" s="359">
        <f t="shared" si="6"/>
        <v>700.03500000000008</v>
      </c>
      <c r="H433" s="350"/>
    </row>
    <row r="434" spans="1:8" ht="14.85" customHeight="1">
      <c r="A434" s="38"/>
      <c r="B434" s="467" t="s">
        <v>3</v>
      </c>
      <c r="C434" s="468"/>
      <c r="D434" s="468"/>
      <c r="E434" s="469"/>
      <c r="F434" s="329">
        <f>SUM(F159:F433)</f>
        <v>1377483.6683410008</v>
      </c>
      <c r="G434" s="291"/>
      <c r="H434" s="357"/>
    </row>
    <row r="435" spans="1:8" ht="14.85" customHeight="1">
      <c r="A435" s="38"/>
      <c r="B435" s="62"/>
      <c r="C435" s="330"/>
      <c r="D435" s="330"/>
      <c r="E435" s="330"/>
      <c r="F435" s="41"/>
      <c r="G435" s="291"/>
      <c r="H435" s="357"/>
    </row>
    <row r="436" spans="1:8" ht="14.85" customHeight="1">
      <c r="A436" s="38"/>
      <c r="B436" s="49"/>
      <c r="C436" s="50"/>
      <c r="D436" s="358"/>
      <c r="E436" s="358"/>
      <c r="F436" s="58"/>
      <c r="G436" s="291"/>
      <c r="H436" s="357"/>
    </row>
    <row r="437" spans="1:8" ht="14.85" customHeight="1">
      <c r="A437" s="51"/>
      <c r="B437" s="194" t="s">
        <v>298</v>
      </c>
      <c r="C437" s="195"/>
      <c r="D437" s="312"/>
      <c r="E437" s="313"/>
      <c r="F437" s="309" t="s">
        <v>0</v>
      </c>
      <c r="G437" s="310">
        <f>+F459</f>
        <v>168504.07309999995</v>
      </c>
      <c r="H437" s="357"/>
    </row>
    <row r="438" spans="1:8" ht="14.85" customHeight="1">
      <c r="A438" s="38"/>
      <c r="B438" s="49"/>
      <c r="C438" s="50"/>
      <c r="D438" s="38"/>
      <c r="E438" s="38"/>
      <c r="F438" s="38"/>
      <c r="H438" s="357"/>
    </row>
    <row r="439" spans="1:8" ht="14.85" customHeight="1">
      <c r="A439" s="38"/>
      <c r="B439" s="319" t="s">
        <v>24</v>
      </c>
      <c r="C439" s="46" t="s">
        <v>2</v>
      </c>
      <c r="D439" s="46" t="s">
        <v>32</v>
      </c>
      <c r="E439" s="15" t="s">
        <v>5</v>
      </c>
      <c r="F439" s="46" t="s">
        <v>4</v>
      </c>
      <c r="H439" s="357"/>
    </row>
    <row r="440" spans="1:8" ht="14.85" customHeight="1">
      <c r="A440" s="38"/>
      <c r="B440" s="277" t="s">
        <v>363</v>
      </c>
      <c r="C440" s="356" t="s">
        <v>369</v>
      </c>
      <c r="D440" s="60"/>
      <c r="E440" s="60"/>
      <c r="F440" s="359">
        <v>24723.55</v>
      </c>
      <c r="H440" s="357"/>
    </row>
    <row r="441" spans="1:8" ht="14.85" customHeight="1">
      <c r="A441" s="38"/>
      <c r="B441" s="277" t="s">
        <v>561</v>
      </c>
      <c r="C441" s="356" t="s">
        <v>162</v>
      </c>
      <c r="D441" s="60">
        <v>5.9997999999999996</v>
      </c>
      <c r="E441" s="60">
        <v>350</v>
      </c>
      <c r="F441" s="359">
        <f t="shared" ref="F441:F458" si="7">+D441*E441</f>
        <v>2099.9299999999998</v>
      </c>
      <c r="H441" s="357"/>
    </row>
    <row r="442" spans="1:8" ht="14.85" customHeight="1">
      <c r="A442" s="38"/>
      <c r="B442" s="277" t="s">
        <v>562</v>
      </c>
      <c r="C442" s="356" t="s">
        <v>151</v>
      </c>
      <c r="D442" s="60">
        <v>2.9998999999999998</v>
      </c>
      <c r="E442" s="60">
        <v>25</v>
      </c>
      <c r="F442" s="359">
        <f t="shared" si="7"/>
        <v>74.997499999999988</v>
      </c>
      <c r="H442" s="357"/>
    </row>
    <row r="443" spans="1:8" ht="14.85" customHeight="1">
      <c r="A443" s="38"/>
      <c r="B443" s="277" t="s">
        <v>563</v>
      </c>
      <c r="C443" s="356" t="s">
        <v>316</v>
      </c>
      <c r="D443" s="60">
        <v>77.492800000000003</v>
      </c>
      <c r="E443" s="60">
        <v>90</v>
      </c>
      <c r="F443" s="359">
        <f t="shared" si="7"/>
        <v>6974.3519999999999</v>
      </c>
      <c r="H443" s="357"/>
    </row>
    <row r="444" spans="1:8" ht="14.85" customHeight="1">
      <c r="A444" s="38"/>
      <c r="B444" s="277" t="s">
        <v>564</v>
      </c>
      <c r="C444" s="356" t="s">
        <v>162</v>
      </c>
      <c r="D444" s="60">
        <v>1.9999</v>
      </c>
      <c r="E444" s="60">
        <v>1200</v>
      </c>
      <c r="F444" s="359">
        <f t="shared" si="7"/>
        <v>2399.88</v>
      </c>
      <c r="H444" s="357"/>
    </row>
    <row r="445" spans="1:8" ht="14.85" customHeight="1">
      <c r="A445" s="38"/>
      <c r="B445" s="277" t="s">
        <v>565</v>
      </c>
      <c r="C445" s="356" t="s">
        <v>316</v>
      </c>
      <c r="D445" s="60">
        <f>289.5095+0.55671</f>
        <v>290.06621000000001</v>
      </c>
      <c r="E445" s="60">
        <v>160</v>
      </c>
      <c r="F445" s="359">
        <f t="shared" si="7"/>
        <v>46410.5936</v>
      </c>
      <c r="H445" s="357"/>
    </row>
    <row r="446" spans="1:8" ht="14.85" customHeight="1">
      <c r="A446" s="38"/>
      <c r="B446" s="277" t="s">
        <v>566</v>
      </c>
      <c r="C446" s="356" t="s">
        <v>316</v>
      </c>
      <c r="D446" s="60">
        <v>464.26589999999999</v>
      </c>
      <c r="E446" s="60">
        <v>25</v>
      </c>
      <c r="F446" s="359">
        <f t="shared" si="7"/>
        <v>11606.647499999999</v>
      </c>
      <c r="H446" s="357"/>
    </row>
    <row r="447" spans="1:8" ht="14.85" customHeight="1">
      <c r="A447" s="38"/>
      <c r="B447" s="277" t="s">
        <v>567</v>
      </c>
      <c r="C447" s="356" t="s">
        <v>316</v>
      </c>
      <c r="D447" s="60">
        <v>319.74419999999998</v>
      </c>
      <c r="E447" s="60">
        <v>5</v>
      </c>
      <c r="F447" s="359">
        <f t="shared" si="7"/>
        <v>1598.721</v>
      </c>
      <c r="H447" s="357"/>
    </row>
    <row r="448" spans="1:8" ht="14.85" customHeight="1">
      <c r="A448" s="38"/>
      <c r="B448" s="277" t="s">
        <v>568</v>
      </c>
      <c r="C448" s="356" t="s">
        <v>316</v>
      </c>
      <c r="D448" s="60">
        <v>25.9374</v>
      </c>
      <c r="E448" s="60">
        <v>75</v>
      </c>
      <c r="F448" s="359">
        <f t="shared" si="7"/>
        <v>1945.3050000000001</v>
      </c>
      <c r="H448" s="357"/>
    </row>
    <row r="449" spans="1:8" ht="14.85" customHeight="1">
      <c r="A449" s="38"/>
      <c r="B449" s="277" t="s">
        <v>569</v>
      </c>
      <c r="C449" s="356" t="s">
        <v>316</v>
      </c>
      <c r="D449" s="60">
        <v>510.56</v>
      </c>
      <c r="E449" s="60">
        <v>25</v>
      </c>
      <c r="F449" s="359">
        <f t="shared" si="7"/>
        <v>12764</v>
      </c>
      <c r="H449" s="357"/>
    </row>
    <row r="450" spans="1:8" ht="14.85" customHeight="1">
      <c r="A450" s="38"/>
      <c r="B450" s="277" t="s">
        <v>570</v>
      </c>
      <c r="C450" s="356" t="s">
        <v>316</v>
      </c>
      <c r="D450" s="60">
        <v>72.395899999999997</v>
      </c>
      <c r="E450" s="60">
        <v>280</v>
      </c>
      <c r="F450" s="359">
        <f t="shared" si="7"/>
        <v>20270.851999999999</v>
      </c>
      <c r="H450" s="357"/>
    </row>
    <row r="451" spans="1:8" ht="14.85" customHeight="1">
      <c r="A451" s="38"/>
      <c r="B451" s="277" t="s">
        <v>571</v>
      </c>
      <c r="C451" s="356" t="s">
        <v>316</v>
      </c>
      <c r="D451" s="60">
        <v>43.0276</v>
      </c>
      <c r="E451" s="60">
        <v>140</v>
      </c>
      <c r="F451" s="359">
        <f t="shared" si="7"/>
        <v>6023.8639999999996</v>
      </c>
      <c r="H451" s="357"/>
    </row>
    <row r="452" spans="1:8" ht="14.85" customHeight="1">
      <c r="A452" s="38"/>
      <c r="B452" s="277" t="s">
        <v>572</v>
      </c>
      <c r="C452" s="356" t="s">
        <v>316</v>
      </c>
      <c r="D452" s="60">
        <v>25.9374</v>
      </c>
      <c r="E452" s="60">
        <v>45</v>
      </c>
      <c r="F452" s="359">
        <f t="shared" si="7"/>
        <v>1167.183</v>
      </c>
      <c r="H452" s="357"/>
    </row>
    <row r="453" spans="1:8" ht="14.85" customHeight="1">
      <c r="A453" s="38"/>
      <c r="B453" s="277" t="s">
        <v>573</v>
      </c>
      <c r="C453" s="356" t="s">
        <v>316</v>
      </c>
      <c r="D453" s="60">
        <v>352.61399999999998</v>
      </c>
      <c r="E453" s="60">
        <v>20</v>
      </c>
      <c r="F453" s="359">
        <f t="shared" si="7"/>
        <v>7052.28</v>
      </c>
      <c r="H453" s="357"/>
    </row>
    <row r="454" spans="1:8" ht="14.85" customHeight="1">
      <c r="A454" s="38"/>
      <c r="B454" s="277" t="s">
        <v>574</v>
      </c>
      <c r="C454" s="356" t="s">
        <v>316</v>
      </c>
      <c r="D454" s="60">
        <v>49.261099999999999</v>
      </c>
      <c r="E454" s="60">
        <v>25</v>
      </c>
      <c r="F454" s="359">
        <f t="shared" si="7"/>
        <v>1231.5274999999999</v>
      </c>
      <c r="H454" s="357"/>
    </row>
    <row r="455" spans="1:8" ht="14.85" customHeight="1">
      <c r="A455" s="38"/>
      <c r="B455" s="277" t="s">
        <v>575</v>
      </c>
      <c r="C455" s="356" t="s">
        <v>316</v>
      </c>
      <c r="D455" s="60">
        <v>632.81280000000004</v>
      </c>
      <c r="E455" s="60">
        <v>30</v>
      </c>
      <c r="F455" s="359">
        <f t="shared" si="7"/>
        <v>18984.384000000002</v>
      </c>
      <c r="H455" s="357"/>
    </row>
    <row r="456" spans="1:8" ht="14.85" customHeight="1">
      <c r="A456" s="38"/>
      <c r="B456" s="277" t="s">
        <v>576</v>
      </c>
      <c r="C456" s="356" t="s">
        <v>316</v>
      </c>
      <c r="D456" s="60">
        <v>24</v>
      </c>
      <c r="E456" s="60">
        <v>25</v>
      </c>
      <c r="F456" s="359">
        <f t="shared" si="7"/>
        <v>600</v>
      </c>
      <c r="H456" s="357"/>
    </row>
    <row r="457" spans="1:8" ht="14.85" customHeight="1">
      <c r="A457" s="38"/>
      <c r="B457" s="277" t="s">
        <v>577</v>
      </c>
      <c r="C457" s="356" t="s">
        <v>316</v>
      </c>
      <c r="D457" s="60">
        <v>64.400000000000006</v>
      </c>
      <c r="E457" s="60">
        <v>30</v>
      </c>
      <c r="F457" s="359">
        <f t="shared" si="7"/>
        <v>1932.0000000000002</v>
      </c>
      <c r="H457" s="357"/>
    </row>
    <row r="458" spans="1:8" ht="14.85" customHeight="1">
      <c r="A458" s="38"/>
      <c r="B458" s="277" t="s">
        <v>578</v>
      </c>
      <c r="C458" s="356" t="s">
        <v>316</v>
      </c>
      <c r="D458" s="60">
        <v>32.200299999999999</v>
      </c>
      <c r="E458" s="60">
        <v>20</v>
      </c>
      <c r="F458" s="359">
        <f t="shared" si="7"/>
        <v>644.00599999999997</v>
      </c>
      <c r="H458" s="357"/>
    </row>
    <row r="459" spans="1:8" ht="14.85" customHeight="1">
      <c r="A459" s="38"/>
      <c r="B459" s="467" t="s">
        <v>3</v>
      </c>
      <c r="C459" s="468"/>
      <c r="D459" s="468"/>
      <c r="E459" s="469"/>
      <c r="F459" s="257">
        <f>SUM(F440:F458)</f>
        <v>168504.07309999995</v>
      </c>
      <c r="G459" s="291"/>
      <c r="H459" s="357"/>
    </row>
    <row r="460" spans="1:8" ht="14.85" customHeight="1">
      <c r="A460" s="38"/>
      <c r="B460" s="62"/>
      <c r="C460" s="62"/>
      <c r="D460" s="62"/>
      <c r="E460" s="62"/>
      <c r="F460" s="37"/>
      <c r="H460" s="357"/>
    </row>
    <row r="461" spans="1:8" ht="14.85" customHeight="1">
      <c r="A461" s="38"/>
      <c r="B461" s="333"/>
      <c r="C461" s="333"/>
      <c r="D461" s="333"/>
      <c r="E461" s="333"/>
      <c r="F461" s="198"/>
      <c r="G461" s="334"/>
      <c r="H461" s="357"/>
    </row>
    <row r="462" spans="1:8" ht="14.85" customHeight="1">
      <c r="A462" s="38"/>
      <c r="B462" s="194" t="s">
        <v>322</v>
      </c>
      <c r="C462" s="195"/>
      <c r="D462" s="312"/>
      <c r="E462" s="313"/>
      <c r="F462" s="309" t="s">
        <v>0</v>
      </c>
      <c r="G462" s="310">
        <f>+F467</f>
        <v>0</v>
      </c>
      <c r="H462" s="357"/>
    </row>
    <row r="463" spans="1:8" ht="14.85" customHeight="1">
      <c r="A463" s="38"/>
      <c r="B463" s="49"/>
      <c r="C463" s="50"/>
      <c r="D463" s="38"/>
      <c r="E463" s="38"/>
      <c r="F463" s="38"/>
      <c r="H463" s="357"/>
    </row>
    <row r="464" spans="1:8" ht="14.85" customHeight="1">
      <c r="A464" s="38"/>
      <c r="B464" s="319" t="s">
        <v>24</v>
      </c>
      <c r="C464" s="46" t="s">
        <v>2</v>
      </c>
      <c r="D464" s="46" t="s">
        <v>32</v>
      </c>
      <c r="E464" s="15" t="s">
        <v>5</v>
      </c>
      <c r="F464" s="46" t="s">
        <v>4</v>
      </c>
      <c r="H464" s="357"/>
    </row>
    <row r="465" spans="1:8" ht="14.85" customHeight="1">
      <c r="A465" s="38"/>
      <c r="B465" s="278" t="s">
        <v>323</v>
      </c>
      <c r="C465" s="279" t="s">
        <v>291</v>
      </c>
      <c r="D465" s="280">
        <v>0</v>
      </c>
      <c r="E465" s="281">
        <v>177</v>
      </c>
      <c r="F465" s="280">
        <f>D465*E465</f>
        <v>0</v>
      </c>
      <c r="H465" s="357"/>
    </row>
    <row r="466" spans="1:8" ht="14.85" customHeight="1">
      <c r="A466" s="38"/>
      <c r="B466" s="278" t="s">
        <v>324</v>
      </c>
      <c r="C466" s="279" t="s">
        <v>291</v>
      </c>
      <c r="D466" s="280">
        <v>0</v>
      </c>
      <c r="E466" s="281">
        <v>708</v>
      </c>
      <c r="F466" s="280">
        <f>D466*E466</f>
        <v>0</v>
      </c>
      <c r="H466" s="357"/>
    </row>
    <row r="467" spans="1:8" ht="14.85" customHeight="1">
      <c r="A467" s="38"/>
      <c r="B467" s="467" t="s">
        <v>3</v>
      </c>
      <c r="C467" s="468"/>
      <c r="D467" s="468"/>
      <c r="E467" s="469"/>
      <c r="F467" s="257">
        <f>SUM(F465:F466)</f>
        <v>0</v>
      </c>
      <c r="G467" s="291"/>
      <c r="H467" s="357"/>
    </row>
    <row r="468" spans="1:8" ht="14.85" customHeight="1">
      <c r="A468" s="38"/>
      <c r="B468" s="62"/>
      <c r="C468" s="62"/>
      <c r="D468" s="62"/>
      <c r="E468" s="62"/>
      <c r="F468" s="37"/>
      <c r="H468" s="357"/>
    </row>
    <row r="469" spans="1:8" ht="14.85" customHeight="1">
      <c r="A469" s="38"/>
      <c r="H469" s="357"/>
    </row>
    <row r="470" spans="1:8" ht="14.85" customHeight="1">
      <c r="A470" s="38"/>
      <c r="H470" s="357"/>
    </row>
    <row r="471" spans="1:8" ht="14.85" customHeight="1">
      <c r="A471" s="477" t="s">
        <v>73</v>
      </c>
      <c r="B471" s="477"/>
      <c r="C471" s="477"/>
      <c r="D471" s="477"/>
      <c r="E471" s="477"/>
      <c r="F471" s="175" t="s">
        <v>0</v>
      </c>
      <c r="G471" s="58">
        <f>+G20</f>
        <v>2219685.8299930007</v>
      </c>
      <c r="H471" s="357"/>
    </row>
    <row r="472" spans="1:8" ht="14.85" customHeight="1">
      <c r="A472" s="360"/>
      <c r="B472" s="361"/>
      <c r="C472" s="361"/>
      <c r="D472" s="361"/>
      <c r="E472" s="361"/>
      <c r="F472" s="361"/>
      <c r="G472" s="340"/>
      <c r="H472" s="357"/>
    </row>
    <row r="473" spans="1:8" ht="14.85" customHeight="1">
      <c r="A473" s="37"/>
      <c r="B473" s="342"/>
      <c r="C473" s="342"/>
      <c r="D473" s="48"/>
      <c r="E473" s="48"/>
      <c r="F473" s="48"/>
      <c r="G473" s="28"/>
      <c r="H473" s="357"/>
    </row>
    <row r="474" spans="1:8" ht="14.85" customHeight="1">
      <c r="A474" s="37"/>
      <c r="B474" s="342"/>
      <c r="C474" s="342"/>
      <c r="D474" s="48"/>
      <c r="E474" s="48"/>
      <c r="F474" s="48"/>
      <c r="G474" s="28"/>
      <c r="H474" s="357"/>
    </row>
    <row r="475" spans="1:8" ht="14.85" customHeight="1">
      <c r="A475" s="37"/>
      <c r="B475" s="477"/>
      <c r="C475" s="478"/>
      <c r="D475" s="478"/>
      <c r="E475" s="478"/>
      <c r="F475" s="41"/>
      <c r="G475" s="341"/>
      <c r="H475" s="357"/>
    </row>
    <row r="476" spans="1:8" ht="14.85" hidden="1" customHeight="1">
      <c r="A476" s="37"/>
      <c r="B476" s="62"/>
      <c r="C476" s="62"/>
      <c r="D476" s="62"/>
      <c r="E476" s="62"/>
      <c r="F476" s="37"/>
      <c r="G476" s="28"/>
      <c r="H476" s="357"/>
    </row>
    <row r="477" spans="1:8" ht="14.25" hidden="1" customHeight="1">
      <c r="A477" s="37"/>
      <c r="B477" s="28"/>
      <c r="C477" s="343"/>
      <c r="D477" s="28"/>
      <c r="E477" s="28"/>
      <c r="F477" s="28"/>
      <c r="G477" s="28"/>
      <c r="H477" s="357"/>
    </row>
    <row r="478" spans="1:8" ht="14.25" hidden="1" customHeight="1">
      <c r="A478" s="37"/>
      <c r="B478" s="28"/>
      <c r="C478" s="343"/>
      <c r="D478" s="28"/>
      <c r="E478" s="28"/>
      <c r="F478" s="28"/>
      <c r="G478" s="28"/>
      <c r="H478" s="357"/>
    </row>
    <row r="479" spans="1:8" ht="14.25" hidden="1" customHeight="1">
      <c r="A479" s="477"/>
      <c r="B479" s="477"/>
      <c r="C479" s="477"/>
      <c r="D479" s="477"/>
      <c r="E479" s="477"/>
      <c r="F479" s="175"/>
      <c r="G479" s="41"/>
      <c r="H479" s="357"/>
    </row>
    <row r="480" spans="1:8" ht="14.25" hidden="1" customHeight="1">
      <c r="A480" s="28"/>
      <c r="B480" s="28"/>
      <c r="C480" s="343"/>
      <c r="D480" s="28"/>
      <c r="E480" s="28"/>
      <c r="F480" s="28"/>
      <c r="G480" s="28"/>
      <c r="H480" s="357"/>
    </row>
    <row r="481" spans="1:8" ht="14.25" hidden="1" customHeight="1">
      <c r="A481" s="28"/>
      <c r="B481" s="28"/>
      <c r="C481" s="343"/>
      <c r="D481" s="28"/>
      <c r="E481" s="28"/>
      <c r="F481" s="28"/>
      <c r="G481" s="36"/>
      <c r="H481" s="357"/>
    </row>
    <row r="482" spans="1:8" ht="14.25" hidden="1" customHeight="1">
      <c r="A482" s="28"/>
      <c r="B482" s="28"/>
      <c r="C482" s="343"/>
      <c r="D482" s="28"/>
      <c r="E482" s="28"/>
      <c r="F482" s="28"/>
      <c r="G482" s="36"/>
      <c r="H482" s="357"/>
    </row>
    <row r="483" spans="1:8" ht="14.25" customHeight="1">
      <c r="A483" s="28"/>
      <c r="B483" s="28"/>
      <c r="C483" s="343"/>
      <c r="D483" s="28"/>
      <c r="E483" s="28"/>
      <c r="F483" s="28"/>
      <c r="G483" s="28"/>
      <c r="H483" s="357"/>
    </row>
    <row r="484" spans="1:8" ht="14.25" customHeight="1">
      <c r="A484" s="344"/>
      <c r="B484" s="345"/>
      <c r="C484" s="348"/>
      <c r="D484" s="345"/>
      <c r="E484" s="345"/>
      <c r="F484" s="345"/>
      <c r="G484" s="345"/>
      <c r="H484" s="311"/>
    </row>
    <row r="485" spans="1:8" ht="14.25" customHeight="1">
      <c r="A485" s="344"/>
      <c r="B485" s="345"/>
      <c r="C485" s="348"/>
      <c r="D485" s="345"/>
      <c r="E485" s="345"/>
      <c r="F485" s="345"/>
      <c r="G485" s="345"/>
      <c r="H485" s="311"/>
    </row>
    <row r="486" spans="1:8" ht="14.25" customHeight="1">
      <c r="A486" s="470"/>
      <c r="B486" s="470"/>
      <c r="C486" s="470"/>
      <c r="D486" s="470"/>
      <c r="E486" s="470"/>
      <c r="F486" s="346"/>
      <c r="G486" s="347"/>
      <c r="H486" s="311"/>
    </row>
    <row r="487" spans="1:8" ht="14.25" customHeight="1">
      <c r="H487" s="311"/>
    </row>
    <row r="488" spans="1:8" ht="14.25" customHeight="1">
      <c r="G488" s="32"/>
      <c r="H488" s="311"/>
    </row>
    <row r="489" spans="1:8" ht="14.25" customHeight="1">
      <c r="G489" s="32"/>
      <c r="H489" s="311"/>
    </row>
    <row r="490" spans="1:8" ht="18" customHeight="1">
      <c r="G490" s="32"/>
      <c r="H490" s="311"/>
    </row>
    <row r="491" spans="1:8">
      <c r="H491" s="311"/>
    </row>
    <row r="492" spans="1:8">
      <c r="H492" s="311"/>
    </row>
    <row r="493" spans="1:8">
      <c r="H493" s="311"/>
    </row>
    <row r="494" spans="1:8">
      <c r="H494" s="311"/>
    </row>
    <row r="495" spans="1:8">
      <c r="H495" s="311"/>
    </row>
    <row r="496" spans="1:8">
      <c r="H496" s="311"/>
    </row>
    <row r="497" spans="8:8">
      <c r="H497" s="311"/>
    </row>
    <row r="498" spans="8:8">
      <c r="H498" s="311"/>
    </row>
    <row r="499" spans="8:8">
      <c r="H499" s="311"/>
    </row>
    <row r="500" spans="8:8">
      <c r="H500" s="311"/>
    </row>
    <row r="501" spans="8:8">
      <c r="H501" s="311"/>
    </row>
    <row r="502" spans="8:8">
      <c r="H502" s="311"/>
    </row>
    <row r="503" spans="8:8">
      <c r="H503" s="311"/>
    </row>
    <row r="504" spans="8:8">
      <c r="H504" s="311"/>
    </row>
    <row r="505" spans="8:8">
      <c r="H505" s="311"/>
    </row>
    <row r="506" spans="8:8">
      <c r="H506" s="311"/>
    </row>
    <row r="507" spans="8:8">
      <c r="H507" s="311"/>
    </row>
    <row r="508" spans="8:8">
      <c r="H508" s="311"/>
    </row>
    <row r="509" spans="8:8">
      <c r="H509" s="311"/>
    </row>
    <row r="510" spans="8:8">
      <c r="H510" s="311"/>
    </row>
    <row r="511" spans="8:8">
      <c r="H511" s="311"/>
    </row>
    <row r="512" spans="8:8">
      <c r="H512" s="311"/>
    </row>
    <row r="513" spans="8:8">
      <c r="H513" s="311"/>
    </row>
    <row r="514" spans="8:8">
      <c r="H514" s="311"/>
    </row>
    <row r="515" spans="8:8">
      <c r="H515" s="311"/>
    </row>
    <row r="516" spans="8:8">
      <c r="H516" s="311"/>
    </row>
    <row r="517" spans="8:8">
      <c r="H517" s="311"/>
    </row>
    <row r="518" spans="8:8">
      <c r="H518" s="311"/>
    </row>
    <row r="519" spans="8:8">
      <c r="H519" s="311"/>
    </row>
    <row r="520" spans="8:8">
      <c r="H520" s="311"/>
    </row>
    <row r="521" spans="8:8">
      <c r="H521" s="311"/>
    </row>
    <row r="522" spans="8:8">
      <c r="H522" s="311"/>
    </row>
    <row r="523" spans="8:8">
      <c r="H523" s="311"/>
    </row>
    <row r="524" spans="8:8">
      <c r="H524" s="311"/>
    </row>
    <row r="525" spans="8:8">
      <c r="H525" s="311"/>
    </row>
    <row r="526" spans="8:8">
      <c r="H526" s="311"/>
    </row>
    <row r="527" spans="8:8">
      <c r="H527" s="311"/>
    </row>
    <row r="528" spans="8:8">
      <c r="H528" s="311"/>
    </row>
    <row r="529" spans="8:8">
      <c r="H529" s="311"/>
    </row>
    <row r="530" spans="8:8">
      <c r="H530" s="311"/>
    </row>
    <row r="531" spans="8:8">
      <c r="H531" s="311"/>
    </row>
    <row r="532" spans="8:8">
      <c r="H532" s="311"/>
    </row>
    <row r="533" spans="8:8">
      <c r="H533" s="311"/>
    </row>
    <row r="534" spans="8:8">
      <c r="H534" s="311"/>
    </row>
    <row r="535" spans="8:8">
      <c r="H535" s="311"/>
    </row>
    <row r="536" spans="8:8">
      <c r="H536" s="311"/>
    </row>
    <row r="537" spans="8:8">
      <c r="H537" s="311"/>
    </row>
    <row r="538" spans="8:8">
      <c r="H538" s="311"/>
    </row>
    <row r="539" spans="8:8">
      <c r="H539" s="311"/>
    </row>
    <row r="540" spans="8:8">
      <c r="H540" s="311"/>
    </row>
    <row r="541" spans="8:8">
      <c r="H541" s="311"/>
    </row>
    <row r="542" spans="8:8">
      <c r="H542" s="311"/>
    </row>
    <row r="543" spans="8:8">
      <c r="H543" s="311"/>
    </row>
    <row r="544" spans="8:8">
      <c r="H544" s="311"/>
    </row>
    <row r="545" spans="8:8">
      <c r="H545" s="311"/>
    </row>
    <row r="546" spans="8:8">
      <c r="H546" s="311"/>
    </row>
    <row r="547" spans="8:8">
      <c r="H547" s="311"/>
    </row>
    <row r="548" spans="8:8">
      <c r="H548" s="311"/>
    </row>
    <row r="549" spans="8:8">
      <c r="H549" s="311"/>
    </row>
    <row r="550" spans="8:8">
      <c r="H550" s="311"/>
    </row>
    <row r="551" spans="8:8">
      <c r="H551" s="311"/>
    </row>
    <row r="552" spans="8:8">
      <c r="H552" s="311"/>
    </row>
    <row r="553" spans="8:8">
      <c r="H553" s="311"/>
    </row>
    <row r="554" spans="8:8">
      <c r="H554" s="311"/>
    </row>
    <row r="555" spans="8:8">
      <c r="H555" s="311"/>
    </row>
    <row r="556" spans="8:8">
      <c r="H556" s="311"/>
    </row>
    <row r="557" spans="8:8">
      <c r="H557" s="311"/>
    </row>
    <row r="558" spans="8:8">
      <c r="H558" s="311"/>
    </row>
    <row r="559" spans="8:8">
      <c r="H559" s="311"/>
    </row>
    <row r="560" spans="8:8">
      <c r="H560" s="311"/>
    </row>
    <row r="561" spans="8:8">
      <c r="H561" s="311"/>
    </row>
    <row r="562" spans="8:8">
      <c r="H562" s="311"/>
    </row>
    <row r="563" spans="8:8">
      <c r="H563" s="311"/>
    </row>
    <row r="564" spans="8:8">
      <c r="H564" s="311"/>
    </row>
    <row r="565" spans="8:8">
      <c r="H565" s="311"/>
    </row>
    <row r="566" spans="8:8">
      <c r="H566" s="311"/>
    </row>
    <row r="567" spans="8:8">
      <c r="H567" s="311"/>
    </row>
    <row r="568" spans="8:8">
      <c r="H568" s="311"/>
    </row>
    <row r="569" spans="8:8">
      <c r="H569" s="311"/>
    </row>
    <row r="570" spans="8:8">
      <c r="H570" s="311"/>
    </row>
    <row r="571" spans="8:8">
      <c r="H571" s="311"/>
    </row>
    <row r="572" spans="8:8">
      <c r="H572" s="311"/>
    </row>
    <row r="573" spans="8:8">
      <c r="H573" s="311"/>
    </row>
    <row r="574" spans="8:8">
      <c r="H574" s="311"/>
    </row>
    <row r="575" spans="8:8">
      <c r="H575" s="311"/>
    </row>
    <row r="576" spans="8:8">
      <c r="H576" s="311"/>
    </row>
    <row r="577" spans="8:8">
      <c r="H577" s="311"/>
    </row>
    <row r="578" spans="8:8">
      <c r="H578" s="311"/>
    </row>
    <row r="579" spans="8:8">
      <c r="H579" s="311"/>
    </row>
    <row r="580" spans="8:8">
      <c r="H580" s="311"/>
    </row>
    <row r="581" spans="8:8">
      <c r="H581" s="311"/>
    </row>
    <row r="582" spans="8:8">
      <c r="H582" s="311"/>
    </row>
    <row r="583" spans="8:8">
      <c r="H583" s="311"/>
    </row>
    <row r="584" spans="8:8">
      <c r="H584" s="311"/>
    </row>
    <row r="585" spans="8:8">
      <c r="H585" s="311"/>
    </row>
    <row r="586" spans="8:8">
      <c r="H586" s="311"/>
    </row>
    <row r="587" spans="8:8">
      <c r="H587" s="311"/>
    </row>
    <row r="588" spans="8:8">
      <c r="H588" s="311"/>
    </row>
    <row r="589" spans="8:8">
      <c r="H589" s="311"/>
    </row>
    <row r="590" spans="8:8">
      <c r="H590" s="311"/>
    </row>
    <row r="591" spans="8:8">
      <c r="H591" s="311"/>
    </row>
  </sheetData>
  <mergeCells count="23">
    <mergeCell ref="B76:E76"/>
    <mergeCell ref="A3:G3"/>
    <mergeCell ref="B87:E87"/>
    <mergeCell ref="A26:G26"/>
    <mergeCell ref="B131:E131"/>
    <mergeCell ref="B121:E121"/>
    <mergeCell ref="B20:F20"/>
    <mergeCell ref="B140:E140"/>
    <mergeCell ref="B459:E459"/>
    <mergeCell ref="C11:G12"/>
    <mergeCell ref="A486:E486"/>
    <mergeCell ref="B99:E99"/>
    <mergeCell ref="C15:F15"/>
    <mergeCell ref="A28:G28"/>
    <mergeCell ref="B434:E434"/>
    <mergeCell ref="B467:E467"/>
    <mergeCell ref="B475:E475"/>
    <mergeCell ref="B52:E52"/>
    <mergeCell ref="B111:E111"/>
    <mergeCell ref="A471:E471"/>
    <mergeCell ref="A479:E479"/>
    <mergeCell ref="B62:E62"/>
    <mergeCell ref="B152:E152"/>
  </mergeCells>
  <phoneticPr fontId="0" type="noConversion"/>
  <conditionalFormatting sqref="C13:G13 C11">
    <cfRule type="aboveAverage" dxfId="3" priority="2" stopIfTrue="1" aboveAverage="0"/>
  </conditionalFormatting>
  <conditionalFormatting sqref="C11">
    <cfRule type="aboveAverage" dxfId="2" priority="1" stopIfTrue="1" aboveAverage="0"/>
  </conditionalFormatting>
  <printOptions horizontalCentered="1"/>
  <pageMargins left="0.98425196850393704" right="0.39370078740157483" top="1.25" bottom="0.98425196850393704" header="0" footer="0"/>
  <pageSetup paperSize="9" scale="65" orientation="portrait" horizontalDpi="4294967293" r:id="rId1"/>
  <headerFooter alignWithMargins="0">
    <oddHeader>&amp;C&amp;G</oddHeader>
  </headerFooter>
  <rowBreaks count="2" manualBreakCount="2">
    <brk id="23" max="6" man="1"/>
    <brk id="435" max="6" man="1"/>
  </rowBreaks>
  <legacyDrawingHF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>
    <tabColor indexed="43"/>
    <pageSetUpPr fitToPage="1"/>
  </sheetPr>
  <dimension ref="A1:K233"/>
  <sheetViews>
    <sheetView view="pageBreakPreview" topLeftCell="A16" zoomScale="90" zoomScaleNormal="85" zoomScaleSheetLayoutView="90" zoomScalePageLayoutView="75" workbookViewId="0">
      <selection activeCell="B46" sqref="B46:E46"/>
    </sheetView>
  </sheetViews>
  <sheetFormatPr baseColWidth="10" defaultColWidth="11.42578125" defaultRowHeight="12.75"/>
  <cols>
    <col min="1" max="1" width="6" style="67" customWidth="1"/>
    <col min="2" max="2" width="46.28515625" style="70" customWidth="1"/>
    <col min="3" max="3" width="15.140625" style="70" customWidth="1"/>
    <col min="4" max="4" width="13.85546875" style="73" customWidth="1"/>
    <col min="5" max="5" width="12.5703125" style="73" customWidth="1"/>
    <col min="6" max="6" width="20.85546875" style="70" customWidth="1"/>
    <col min="7" max="7" width="16" style="70" customWidth="1"/>
    <col min="8" max="8" width="5.140625" style="63" customWidth="1"/>
    <col min="9" max="16384" width="11.42578125" style="63"/>
  </cols>
  <sheetData>
    <row r="1" spans="1:7" ht="21" customHeight="1"/>
    <row r="2" spans="1:7" ht="21" customHeight="1"/>
    <row r="3" spans="1:7" ht="27" customHeight="1">
      <c r="A3" s="484" t="s">
        <v>68</v>
      </c>
      <c r="B3" s="484"/>
      <c r="C3" s="484"/>
      <c r="D3" s="484"/>
      <c r="E3" s="484"/>
      <c r="F3" s="484"/>
      <c r="G3" s="484"/>
    </row>
    <row r="4" spans="1:7" ht="18" customHeight="1">
      <c r="A4" s="64"/>
      <c r="B4" s="65"/>
      <c r="C4" s="65"/>
      <c r="D4" s="66"/>
      <c r="E4" s="66"/>
      <c r="F4" s="65"/>
      <c r="G4" s="65"/>
    </row>
    <row r="5" spans="1:7" ht="18" customHeight="1">
      <c r="B5" s="68"/>
      <c r="C5" s="69"/>
      <c r="D5" s="66"/>
      <c r="E5" s="66"/>
      <c r="F5" s="65"/>
    </row>
    <row r="6" spans="1:7" ht="18" customHeight="1">
      <c r="B6" s="68" t="s">
        <v>35</v>
      </c>
      <c r="C6" s="30" t="str">
        <f>'R'!C9</f>
        <v>:</v>
      </c>
      <c r="D6" s="27"/>
      <c r="E6" s="27"/>
      <c r="F6" s="27"/>
      <c r="G6" s="27"/>
    </row>
    <row r="7" spans="1:7" ht="18" customHeight="1">
      <c r="B7" s="68" t="s">
        <v>65</v>
      </c>
      <c r="C7" s="30" t="str">
        <f>'R'!C10</f>
        <v>:22 EDUCACIÓN</v>
      </c>
      <c r="D7" s="25"/>
      <c r="E7" s="25"/>
      <c r="F7" s="25"/>
      <c r="G7" s="30" t="s">
        <v>1</v>
      </c>
    </row>
    <row r="8" spans="1:7" ht="18" customHeight="1">
      <c r="B8" s="29" t="s">
        <v>66</v>
      </c>
      <c r="C8" s="30" t="str">
        <f>'R'!C11</f>
        <v>:047 EDUCACIÓN BÁSICA</v>
      </c>
      <c r="D8" s="25"/>
      <c r="E8" s="25"/>
      <c r="F8" s="25"/>
      <c r="G8" s="30"/>
    </row>
    <row r="9" spans="1:7" ht="18" customHeight="1">
      <c r="B9" s="29" t="s">
        <v>67</v>
      </c>
      <c r="C9" s="30" t="str">
        <f>'R'!C12</f>
        <v>:EDUCACIÓN PRIMARIA SECUNDARIA</v>
      </c>
      <c r="D9" s="25"/>
      <c r="E9" s="25"/>
      <c r="F9" s="25"/>
      <c r="G9" s="25"/>
    </row>
    <row r="10" spans="1:7" ht="18.75" customHeight="1">
      <c r="B10" s="29" t="s">
        <v>111</v>
      </c>
      <c r="C10" s="485" t="s">
        <v>652</v>
      </c>
      <c r="D10" s="464"/>
      <c r="E10" s="464"/>
      <c r="F10" s="464"/>
      <c r="G10" s="464"/>
    </row>
    <row r="11" spans="1:7" ht="18" customHeight="1">
      <c r="B11" s="29"/>
      <c r="C11" s="464"/>
      <c r="D11" s="464"/>
      <c r="E11" s="464"/>
      <c r="F11" s="464"/>
      <c r="G11" s="464"/>
    </row>
    <row r="12" spans="1:7" ht="18" customHeight="1">
      <c r="B12" s="29"/>
      <c r="C12" s="33"/>
      <c r="D12" s="33"/>
      <c r="E12" s="33"/>
      <c r="F12" s="33"/>
      <c r="G12" s="33"/>
    </row>
    <row r="13" spans="1:7" ht="18" customHeight="1" thickBot="1">
      <c r="B13" s="29"/>
      <c r="C13" s="255"/>
      <c r="D13" s="255"/>
      <c r="E13" s="255"/>
      <c r="F13" s="255"/>
      <c r="G13" s="255"/>
    </row>
    <row r="14" spans="1:7" s="182" customFormat="1" ht="20.25" customHeight="1" thickBot="1">
      <c r="A14" s="183"/>
      <c r="B14" s="224" t="s">
        <v>36</v>
      </c>
      <c r="C14" s="487" t="s">
        <v>37</v>
      </c>
      <c r="D14" s="487"/>
      <c r="E14" s="487"/>
      <c r="F14" s="487"/>
      <c r="G14" s="225" t="s">
        <v>38</v>
      </c>
    </row>
    <row r="15" spans="1:7" s="182" customFormat="1" ht="20.25" customHeight="1">
      <c r="A15" s="183"/>
      <c r="B15" s="300" t="str">
        <f>'R'!A16</f>
        <v>2.6.2.2.2.4</v>
      </c>
      <c r="C15" s="205" t="s">
        <v>144</v>
      </c>
      <c r="D15" s="205"/>
      <c r="E15" s="205"/>
      <c r="F15" s="206"/>
      <c r="G15" s="207">
        <f>+G28</f>
        <v>62133.583333333328</v>
      </c>
    </row>
    <row r="16" spans="1:7" s="182" customFormat="1" ht="20.25" customHeight="1">
      <c r="A16" s="183"/>
      <c r="B16" s="300" t="str">
        <f>'R'!A17</f>
        <v>2.6.2.2.2.5</v>
      </c>
      <c r="C16" s="199" t="s">
        <v>145</v>
      </c>
      <c r="D16" s="199"/>
      <c r="E16" s="199"/>
      <c r="F16" s="200"/>
      <c r="G16" s="201">
        <f>+G138</f>
        <v>704.2</v>
      </c>
    </row>
    <row r="17" spans="1:11" s="182" customFormat="1" ht="20.25" customHeight="1">
      <c r="A17" s="183"/>
      <c r="B17" s="300" t="str">
        <f>'R'!A18</f>
        <v>2.6.2.2.2.6</v>
      </c>
      <c r="C17" s="202" t="s">
        <v>146</v>
      </c>
      <c r="D17" s="202"/>
      <c r="E17" s="202"/>
      <c r="F17" s="200"/>
      <c r="G17" s="201">
        <f>+G187</f>
        <v>180</v>
      </c>
    </row>
    <row r="18" spans="1:11" s="182" customFormat="1" ht="20.25" customHeight="1">
      <c r="A18" s="183"/>
      <c r="B18" s="300" t="str">
        <f>'R'!A19</f>
        <v>2.6.2.2.2.7</v>
      </c>
      <c r="C18" s="199" t="s">
        <v>147</v>
      </c>
      <c r="D18" s="199"/>
      <c r="E18" s="199"/>
      <c r="F18" s="200"/>
      <c r="G18" s="201">
        <v>0</v>
      </c>
    </row>
    <row r="19" spans="1:11" s="182" customFormat="1" ht="20.25" customHeight="1" thickBot="1">
      <c r="A19" s="183"/>
      <c r="B19" s="488" t="s">
        <v>41</v>
      </c>
      <c r="C19" s="489"/>
      <c r="D19" s="489"/>
      <c r="E19" s="489"/>
      <c r="F19" s="489"/>
      <c r="G19" s="203">
        <f>SUM(G15:G18)</f>
        <v>63017.783333333326</v>
      </c>
      <c r="H19" s="184"/>
      <c r="I19" s="328"/>
      <c r="J19" s="184"/>
      <c r="K19" s="184">
        <f>+G19+Supervision!G18+Liquidacion!G19</f>
        <v>105270.03333333333</v>
      </c>
    </row>
    <row r="20" spans="1:11" ht="18" customHeight="1">
      <c r="B20" s="29"/>
      <c r="C20" s="71"/>
      <c r="D20" s="72"/>
    </row>
    <row r="21" spans="1:11" ht="18" customHeight="1">
      <c r="B21" s="75"/>
      <c r="C21" s="75"/>
      <c r="D21" s="75"/>
      <c r="E21" s="75"/>
      <c r="F21" s="76"/>
      <c r="G21" s="74"/>
      <c r="K21" s="63">
        <v>168436.24</v>
      </c>
    </row>
    <row r="22" spans="1:11" ht="18" customHeight="1">
      <c r="B22" s="75"/>
      <c r="C22" s="75"/>
      <c r="D22" s="75"/>
      <c r="E22" s="75"/>
      <c r="F22" s="76"/>
      <c r="G22" s="74"/>
      <c r="K22" s="189">
        <f>+K21+K19</f>
        <v>273706.27333333332</v>
      </c>
    </row>
    <row r="23" spans="1:11" ht="18" customHeight="1">
      <c r="A23" s="77"/>
      <c r="B23" s="77"/>
      <c r="C23" s="78"/>
      <c r="D23" s="79"/>
      <c r="E23" s="79"/>
      <c r="F23" s="80"/>
    </row>
    <row r="24" spans="1:11" ht="27" customHeight="1">
      <c r="A24" s="482" t="s">
        <v>42</v>
      </c>
      <c r="B24" s="483"/>
      <c r="C24" s="483"/>
      <c r="D24" s="483"/>
      <c r="E24" s="483"/>
      <c r="F24" s="483"/>
      <c r="G24" s="483"/>
      <c r="K24" s="63">
        <v>167173.35999999999</v>
      </c>
    </row>
    <row r="25" spans="1:11" ht="20.25" customHeight="1">
      <c r="A25" s="230"/>
      <c r="B25" s="231"/>
      <c r="C25" s="232"/>
      <c r="D25" s="233"/>
      <c r="E25" s="233"/>
      <c r="F25" s="231"/>
      <c r="G25" s="231"/>
      <c r="K25" s="189">
        <f>+K22-K24</f>
        <v>106532.91333333333</v>
      </c>
    </row>
    <row r="26" spans="1:11" ht="27" customHeight="1">
      <c r="A26" s="482" t="s">
        <v>43</v>
      </c>
      <c r="B26" s="482"/>
      <c r="C26" s="482"/>
      <c r="D26" s="482"/>
      <c r="E26" s="482"/>
      <c r="F26" s="482"/>
      <c r="G26" s="482"/>
    </row>
    <row r="27" spans="1:11" ht="12.75" customHeight="1">
      <c r="A27" s="64"/>
      <c r="B27" s="64"/>
      <c r="C27" s="82"/>
      <c r="D27" s="81"/>
      <c r="E27" s="81"/>
      <c r="F27" s="64"/>
      <c r="G27" s="64"/>
    </row>
    <row r="28" spans="1:11" s="182" customFormat="1" ht="15.75">
      <c r="A28" s="237" t="s">
        <v>205</v>
      </c>
      <c r="B28" s="238"/>
      <c r="C28" s="239"/>
      <c r="D28" s="239"/>
      <c r="E28" s="240"/>
      <c r="F28" s="240" t="s">
        <v>0</v>
      </c>
      <c r="G28" s="241">
        <f>+G30+G50+G85+G119</f>
        <v>62133.583333333328</v>
      </c>
      <c r="H28" s="208"/>
    </row>
    <row r="29" spans="1:11" s="223" customFormat="1" ht="15.75">
      <c r="A29" s="226"/>
      <c r="C29" s="212"/>
      <c r="D29" s="212"/>
      <c r="E29" s="213"/>
      <c r="F29" s="213"/>
      <c r="G29" s="214"/>
      <c r="H29" s="222"/>
    </row>
    <row r="30" spans="1:11" ht="16.5" customHeight="1">
      <c r="A30" s="227" t="s">
        <v>12</v>
      </c>
      <c r="B30" s="216" t="s">
        <v>11</v>
      </c>
      <c r="C30" s="217"/>
      <c r="D30" s="218"/>
      <c r="E30" s="219"/>
      <c r="F30" s="220" t="s">
        <v>0</v>
      </c>
      <c r="G30" s="221">
        <f>+F46</f>
        <v>42000</v>
      </c>
    </row>
    <row r="31" spans="1:11" ht="12.75" customHeight="1">
      <c r="A31" s="89"/>
      <c r="B31" s="90"/>
      <c r="C31" s="85"/>
      <c r="D31" s="86"/>
      <c r="E31" s="86"/>
      <c r="F31" s="85"/>
      <c r="G31" s="85"/>
    </row>
    <row r="32" spans="1:11" ht="12.75" customHeight="1">
      <c r="A32" s="209">
        <v>1.01</v>
      </c>
      <c r="B32" s="92" t="s">
        <v>13</v>
      </c>
      <c r="C32" s="85"/>
      <c r="D32" s="86"/>
      <c r="E32" s="86"/>
      <c r="F32" s="87" t="s">
        <v>0</v>
      </c>
      <c r="G32" s="88">
        <f>+F46</f>
        <v>42000</v>
      </c>
    </row>
    <row r="33" spans="1:9" ht="12.75" customHeight="1">
      <c r="A33" s="93"/>
      <c r="B33" s="78"/>
      <c r="C33" s="85"/>
      <c r="D33" s="86"/>
      <c r="E33" s="86"/>
      <c r="F33" s="85"/>
      <c r="G33" s="85"/>
    </row>
    <row r="34" spans="1:9" ht="12.75" customHeight="1">
      <c r="A34" s="64"/>
      <c r="B34" s="92" t="s">
        <v>44</v>
      </c>
      <c r="C34" s="78"/>
      <c r="D34" s="94"/>
      <c r="E34" s="94"/>
      <c r="F34" s="78"/>
      <c r="G34" s="85"/>
    </row>
    <row r="35" spans="1:9" ht="12.75" customHeight="1">
      <c r="A35" s="64"/>
      <c r="B35" s="92"/>
      <c r="C35" s="78"/>
      <c r="D35" s="94"/>
      <c r="E35" s="94"/>
      <c r="F35" s="78"/>
      <c r="G35" s="85"/>
    </row>
    <row r="36" spans="1:9" ht="12.75" customHeight="1">
      <c r="A36" s="93"/>
      <c r="B36" s="95" t="s">
        <v>45</v>
      </c>
      <c r="C36" s="96" t="s">
        <v>46</v>
      </c>
      <c r="D36" s="96" t="s">
        <v>47</v>
      </c>
      <c r="E36" s="96" t="s">
        <v>14</v>
      </c>
      <c r="F36" s="96" t="s">
        <v>4</v>
      </c>
      <c r="G36" s="85"/>
    </row>
    <row r="37" spans="1:9" ht="12.75" customHeight="1">
      <c r="A37" s="64"/>
      <c r="B37" s="97" t="s">
        <v>317</v>
      </c>
      <c r="C37" s="53">
        <v>1</v>
      </c>
      <c r="D37" s="53">
        <v>2</v>
      </c>
      <c r="E37" s="53">
        <v>6000</v>
      </c>
      <c r="F37" s="97">
        <f t="shared" ref="F37:F45" si="0">+C37*D37*E37</f>
        <v>12000</v>
      </c>
      <c r="I37" s="85"/>
    </row>
    <row r="38" spans="1:9" ht="12.75" customHeight="1">
      <c r="A38" s="64"/>
      <c r="B38" s="97" t="s">
        <v>591</v>
      </c>
      <c r="C38" s="53">
        <v>1</v>
      </c>
      <c r="D38" s="53">
        <v>0</v>
      </c>
      <c r="E38" s="53">
        <v>5000</v>
      </c>
      <c r="F38" s="97">
        <f t="shared" si="0"/>
        <v>0</v>
      </c>
      <c r="I38" s="85"/>
    </row>
    <row r="39" spans="1:9" ht="12.75" customHeight="1">
      <c r="A39" s="64"/>
      <c r="B39" s="97" t="s">
        <v>590</v>
      </c>
      <c r="C39" s="53">
        <v>1</v>
      </c>
      <c r="D39" s="53">
        <v>0</v>
      </c>
      <c r="E39" s="53">
        <v>5000</v>
      </c>
      <c r="F39" s="97">
        <f t="shared" si="0"/>
        <v>0</v>
      </c>
      <c r="I39" s="85"/>
    </row>
    <row r="40" spans="1:9" ht="12.75" customHeight="1">
      <c r="A40" s="64"/>
      <c r="B40" s="97" t="s">
        <v>592</v>
      </c>
      <c r="C40" s="53">
        <v>1</v>
      </c>
      <c r="D40" s="53">
        <v>0</v>
      </c>
      <c r="E40" s="53">
        <v>5000</v>
      </c>
      <c r="F40" s="97">
        <f t="shared" si="0"/>
        <v>0</v>
      </c>
      <c r="I40" s="85"/>
    </row>
    <row r="41" spans="1:9" ht="12.75" customHeight="1">
      <c r="A41" s="64"/>
      <c r="B41" s="97" t="s">
        <v>593</v>
      </c>
      <c r="C41" s="53">
        <v>1</v>
      </c>
      <c r="D41" s="53">
        <v>0</v>
      </c>
      <c r="E41" s="53">
        <v>5000</v>
      </c>
      <c r="F41" s="97">
        <f t="shared" si="0"/>
        <v>0</v>
      </c>
      <c r="I41" s="85"/>
    </row>
    <row r="42" spans="1:9" ht="12.75" customHeight="1">
      <c r="A42" s="64"/>
      <c r="B42" s="97" t="s">
        <v>320</v>
      </c>
      <c r="C42" s="53">
        <v>1</v>
      </c>
      <c r="D42" s="53">
        <v>2</v>
      </c>
      <c r="E42" s="53">
        <v>4500</v>
      </c>
      <c r="F42" s="97">
        <f t="shared" si="0"/>
        <v>9000</v>
      </c>
      <c r="G42" s="85"/>
    </row>
    <row r="43" spans="1:9" ht="12.75" customHeight="1">
      <c r="A43" s="64"/>
      <c r="B43" s="97" t="s">
        <v>327</v>
      </c>
      <c r="C43" s="53">
        <v>1</v>
      </c>
      <c r="D43" s="53">
        <v>2</v>
      </c>
      <c r="E43" s="53">
        <v>4000</v>
      </c>
      <c r="F43" s="97">
        <f t="shared" si="0"/>
        <v>8000</v>
      </c>
      <c r="G43" s="85"/>
    </row>
    <row r="44" spans="1:9" ht="12.75" customHeight="1">
      <c r="A44" s="64"/>
      <c r="B44" s="97" t="s">
        <v>318</v>
      </c>
      <c r="C44" s="53">
        <v>1</v>
      </c>
      <c r="D44" s="53">
        <v>2</v>
      </c>
      <c r="E44" s="53">
        <v>4000</v>
      </c>
      <c r="F44" s="97">
        <f t="shared" si="0"/>
        <v>8000</v>
      </c>
      <c r="G44" s="85"/>
    </row>
    <row r="45" spans="1:9" ht="12.75" customHeight="1">
      <c r="A45" s="64"/>
      <c r="B45" s="97" t="s">
        <v>319</v>
      </c>
      <c r="C45" s="53">
        <v>1</v>
      </c>
      <c r="D45" s="53">
        <v>2</v>
      </c>
      <c r="E45" s="53">
        <v>2500</v>
      </c>
      <c r="F45" s="97">
        <f t="shared" si="0"/>
        <v>5000</v>
      </c>
      <c r="G45" s="85"/>
    </row>
    <row r="46" spans="1:9" ht="12.75" customHeight="1">
      <c r="B46" s="490" t="s">
        <v>3</v>
      </c>
      <c r="C46" s="490"/>
      <c r="D46" s="490"/>
      <c r="E46" s="490"/>
      <c r="F46" s="259">
        <f>SUM(F37:F45)</f>
        <v>42000</v>
      </c>
      <c r="G46" s="78"/>
    </row>
    <row r="47" spans="1:9" ht="12.75" customHeight="1">
      <c r="A47" s="64"/>
      <c r="B47" s="85"/>
      <c r="C47" s="85"/>
      <c r="D47" s="86"/>
      <c r="E47" s="86"/>
      <c r="F47" s="85"/>
      <c r="G47" s="85"/>
    </row>
    <row r="48" spans="1:9" ht="12.75" customHeight="1">
      <c r="A48" s="89"/>
      <c r="B48" s="90"/>
      <c r="C48" s="85"/>
      <c r="D48" s="86"/>
      <c r="E48" s="86"/>
      <c r="F48" s="85"/>
      <c r="G48" s="85"/>
    </row>
    <row r="49" spans="1:7" s="18" customFormat="1" ht="12.75" customHeight="1">
      <c r="A49" s="26"/>
      <c r="B49" s="37"/>
      <c r="C49" s="37"/>
      <c r="D49" s="56"/>
      <c r="E49" s="56"/>
      <c r="F49" s="37"/>
      <c r="G49" s="37"/>
    </row>
    <row r="50" spans="1:7" s="18" customFormat="1" ht="12.75" customHeight="1">
      <c r="A50" s="227">
        <v>2</v>
      </c>
      <c r="B50" s="216" t="s">
        <v>20</v>
      </c>
      <c r="C50" s="217"/>
      <c r="D50" s="218"/>
      <c r="E50" s="219"/>
      <c r="F50" s="220" t="s">
        <v>0</v>
      </c>
      <c r="G50" s="221">
        <f>+F66+F82</f>
        <v>4800.25</v>
      </c>
    </row>
    <row r="51" spans="1:7" s="18" customFormat="1">
      <c r="A51" s="89"/>
      <c r="B51" s="90"/>
      <c r="C51" s="85"/>
      <c r="D51" s="86"/>
      <c r="E51" s="86"/>
      <c r="F51" s="85"/>
      <c r="G51" s="85"/>
    </row>
    <row r="52" spans="1:7" s="18" customFormat="1" ht="15.75">
      <c r="A52" s="209">
        <v>2.0099999999999998</v>
      </c>
      <c r="B52" s="92" t="s">
        <v>139</v>
      </c>
      <c r="C52" s="85"/>
      <c r="D52" s="86"/>
      <c r="E52" s="86"/>
      <c r="F52" s="87" t="s">
        <v>0</v>
      </c>
      <c r="G52" s="88">
        <f>+F66</f>
        <v>4095</v>
      </c>
    </row>
    <row r="53" spans="1:7" s="18" customFormat="1">
      <c r="A53" s="91"/>
      <c r="B53" s="92"/>
      <c r="C53" s="85"/>
      <c r="D53" s="86"/>
      <c r="E53" s="86"/>
      <c r="F53" s="85"/>
      <c r="G53" s="85"/>
    </row>
    <row r="54" spans="1:7" s="18" customFormat="1">
      <c r="A54" s="93"/>
      <c r="B54" s="92" t="s">
        <v>44</v>
      </c>
      <c r="C54" s="78"/>
      <c r="D54" s="94"/>
      <c r="E54" s="94"/>
      <c r="F54" s="85"/>
      <c r="G54" s="85"/>
    </row>
    <row r="55" spans="1:7" s="18" customFormat="1">
      <c r="A55" s="93"/>
      <c r="B55" s="92"/>
      <c r="C55" s="78"/>
      <c r="D55" s="94"/>
      <c r="E55" s="94"/>
      <c r="F55" s="85"/>
      <c r="G55" s="85"/>
    </row>
    <row r="56" spans="1:7" s="18" customFormat="1">
      <c r="A56" s="64"/>
      <c r="B56" s="95" t="s">
        <v>45</v>
      </c>
      <c r="C56" s="96" t="s">
        <v>46</v>
      </c>
      <c r="D56" s="96" t="s">
        <v>47</v>
      </c>
      <c r="E56" s="96" t="s">
        <v>14</v>
      </c>
      <c r="F56" s="96" t="s">
        <v>4</v>
      </c>
      <c r="G56" s="85"/>
    </row>
    <row r="57" spans="1:7" s="18" customFormat="1">
      <c r="A57" s="64"/>
      <c r="B57" s="97" t="str">
        <f>B37</f>
        <v>RESIDENTE DE OBRA</v>
      </c>
      <c r="C57" s="53">
        <f>+C37</f>
        <v>1</v>
      </c>
      <c r="D57" s="53">
        <f>+D37</f>
        <v>2</v>
      </c>
      <c r="E57" s="53">
        <f>+(E37+E108)*0.09</f>
        <v>585</v>
      </c>
      <c r="F57" s="97">
        <f>+C57*D57*E57</f>
        <v>1170</v>
      </c>
      <c r="G57" s="85"/>
    </row>
    <row r="58" spans="1:7" s="18" customFormat="1">
      <c r="A58" s="64"/>
      <c r="B58" s="97" t="s">
        <v>591</v>
      </c>
      <c r="C58" s="53">
        <v>1</v>
      </c>
      <c r="D58" s="53">
        <f>+D38</f>
        <v>0</v>
      </c>
      <c r="E58" s="53">
        <f>+(E38+E109)*0.09</f>
        <v>487.5</v>
      </c>
      <c r="F58" s="97">
        <f t="shared" ref="F58:F61" si="1">+C58*D58*E58</f>
        <v>0</v>
      </c>
      <c r="G58" s="85"/>
    </row>
    <row r="59" spans="1:7" s="18" customFormat="1">
      <c r="A59" s="64"/>
      <c r="B59" s="97" t="s">
        <v>590</v>
      </c>
      <c r="C59" s="53">
        <v>1</v>
      </c>
      <c r="D59" s="53">
        <f t="shared" ref="D59:D61" si="2">+D39</f>
        <v>0</v>
      </c>
      <c r="E59" s="53">
        <f t="shared" ref="E59:E65" si="3">+(E39+E110)*0.09</f>
        <v>487.5</v>
      </c>
      <c r="F59" s="97">
        <f t="shared" si="1"/>
        <v>0</v>
      </c>
      <c r="G59" s="85"/>
    </row>
    <row r="60" spans="1:7" s="18" customFormat="1">
      <c r="A60" s="64"/>
      <c r="B60" s="97" t="s">
        <v>592</v>
      </c>
      <c r="C60" s="53">
        <v>1</v>
      </c>
      <c r="D60" s="53">
        <f t="shared" si="2"/>
        <v>0</v>
      </c>
      <c r="E60" s="53">
        <f t="shared" si="3"/>
        <v>487.5</v>
      </c>
      <c r="F60" s="97">
        <f t="shared" si="1"/>
        <v>0</v>
      </c>
      <c r="G60" s="85"/>
    </row>
    <row r="61" spans="1:7" s="18" customFormat="1">
      <c r="A61" s="64"/>
      <c r="B61" s="97" t="s">
        <v>593</v>
      </c>
      <c r="C61" s="53">
        <v>1</v>
      </c>
      <c r="D61" s="53">
        <f t="shared" si="2"/>
        <v>0</v>
      </c>
      <c r="E61" s="53">
        <f t="shared" si="3"/>
        <v>487.5</v>
      </c>
      <c r="F61" s="97">
        <f t="shared" si="1"/>
        <v>0</v>
      </c>
      <c r="G61" s="85"/>
    </row>
    <row r="62" spans="1:7" s="18" customFormat="1">
      <c r="A62" s="64"/>
      <c r="B62" s="97" t="str">
        <f>B42</f>
        <v>ASISTENTE TECNICO</v>
      </c>
      <c r="C62" s="53">
        <f t="shared" ref="C62:D65" si="4">+C42</f>
        <v>1</v>
      </c>
      <c r="D62" s="53">
        <f t="shared" si="4"/>
        <v>2</v>
      </c>
      <c r="E62" s="53">
        <f t="shared" si="3"/>
        <v>438.75</v>
      </c>
      <c r="F62" s="97">
        <f>+C62*D62*E62</f>
        <v>877.5</v>
      </c>
      <c r="G62" s="85"/>
    </row>
    <row r="63" spans="1:7" s="18" customFormat="1">
      <c r="A63" s="64"/>
      <c r="B63" s="97" t="s">
        <v>327</v>
      </c>
      <c r="C63" s="53">
        <f t="shared" si="4"/>
        <v>1</v>
      </c>
      <c r="D63" s="53">
        <f t="shared" si="4"/>
        <v>2</v>
      </c>
      <c r="E63" s="53">
        <f t="shared" si="3"/>
        <v>389.99999999999994</v>
      </c>
      <c r="F63" s="97">
        <f>+C63*D63*E63</f>
        <v>779.99999999999989</v>
      </c>
      <c r="G63" s="85"/>
    </row>
    <row r="64" spans="1:7" s="18" customFormat="1">
      <c r="A64" s="64"/>
      <c r="B64" s="97" t="str">
        <f>B44</f>
        <v xml:space="preserve">MAESTRO DE OBRA </v>
      </c>
      <c r="C64" s="53">
        <f t="shared" si="4"/>
        <v>1</v>
      </c>
      <c r="D64" s="53">
        <f t="shared" si="4"/>
        <v>2</v>
      </c>
      <c r="E64" s="53">
        <f t="shared" si="3"/>
        <v>389.99999999999994</v>
      </c>
      <c r="F64" s="97">
        <f>+C64*D64*E64</f>
        <v>779.99999999999989</v>
      </c>
      <c r="G64" s="85"/>
    </row>
    <row r="65" spans="1:7" ht="12.75" customHeight="1">
      <c r="A65" s="64"/>
      <c r="B65" s="97" t="str">
        <f>B45</f>
        <v xml:space="preserve">ALMACENERO </v>
      </c>
      <c r="C65" s="53">
        <f t="shared" si="4"/>
        <v>1</v>
      </c>
      <c r="D65" s="53">
        <f t="shared" si="4"/>
        <v>2</v>
      </c>
      <c r="E65" s="53">
        <f t="shared" si="3"/>
        <v>243.75</v>
      </c>
      <c r="F65" s="97">
        <f>+C65*D65*E65</f>
        <v>487.5</v>
      </c>
      <c r="G65" s="85"/>
    </row>
    <row r="66" spans="1:7" ht="12.75" customHeight="1">
      <c r="A66" s="64"/>
      <c r="B66" s="492" t="s">
        <v>3</v>
      </c>
      <c r="C66" s="493"/>
      <c r="D66" s="493"/>
      <c r="E66" s="494"/>
      <c r="F66" s="259">
        <f>SUM(F57:F65)</f>
        <v>4095</v>
      </c>
      <c r="G66" s="85"/>
    </row>
    <row r="67" spans="1:7" ht="12.75" customHeight="1">
      <c r="A67" s="64"/>
      <c r="B67" s="101"/>
      <c r="C67" s="101"/>
      <c r="D67" s="86"/>
      <c r="E67" s="86"/>
      <c r="F67" s="85"/>
      <c r="G67" s="85"/>
    </row>
    <row r="68" spans="1:7" ht="12.75" customHeight="1">
      <c r="A68" s="209">
        <v>2.02</v>
      </c>
      <c r="B68" s="92" t="s">
        <v>85</v>
      </c>
      <c r="C68" s="85"/>
      <c r="D68" s="86"/>
      <c r="E68" s="86"/>
      <c r="F68" s="87" t="s">
        <v>0</v>
      </c>
      <c r="G68" s="88">
        <f>+F82</f>
        <v>705.25</v>
      </c>
    </row>
    <row r="69" spans="1:7" ht="12.75" customHeight="1">
      <c r="A69" s="91"/>
      <c r="B69" s="92"/>
      <c r="C69" s="85"/>
      <c r="D69" s="86"/>
      <c r="E69" s="86"/>
      <c r="F69" s="85"/>
      <c r="G69" s="85"/>
    </row>
    <row r="70" spans="1:7" ht="12.75" customHeight="1">
      <c r="A70" s="64"/>
      <c r="B70" s="92" t="s">
        <v>44</v>
      </c>
      <c r="C70" s="78"/>
      <c r="D70" s="94"/>
      <c r="E70" s="94"/>
      <c r="F70" s="85"/>
      <c r="G70" s="85"/>
    </row>
    <row r="71" spans="1:7" ht="12.75" customHeight="1">
      <c r="A71" s="64"/>
      <c r="B71" s="92"/>
      <c r="C71" s="78"/>
      <c r="D71" s="94"/>
      <c r="E71" s="94"/>
      <c r="F71" s="85"/>
      <c r="G71" s="85"/>
    </row>
    <row r="72" spans="1:7" ht="12.75" customHeight="1">
      <c r="A72" s="64"/>
      <c r="B72" s="95" t="s">
        <v>45</v>
      </c>
      <c r="C72" s="96" t="s">
        <v>46</v>
      </c>
      <c r="D72" s="96" t="s">
        <v>47</v>
      </c>
      <c r="E72" s="96" t="s">
        <v>14</v>
      </c>
      <c r="F72" s="96" t="s">
        <v>4</v>
      </c>
      <c r="G72" s="85"/>
    </row>
    <row r="73" spans="1:7" ht="12.75" customHeight="1">
      <c r="A73" s="64"/>
      <c r="B73" s="97" t="str">
        <f>B37</f>
        <v>RESIDENTE DE OBRA</v>
      </c>
      <c r="C73" s="53">
        <f>+C37</f>
        <v>1</v>
      </c>
      <c r="D73" s="53">
        <f>+D37</f>
        <v>2</v>
      </c>
      <c r="E73" s="53">
        <f>+(E37+E108)*0.0155</f>
        <v>100.75</v>
      </c>
      <c r="F73" s="97">
        <f>+C73*D73*E73</f>
        <v>201.5</v>
      </c>
      <c r="G73" s="85"/>
    </row>
    <row r="74" spans="1:7" ht="12.75" customHeight="1">
      <c r="A74" s="64"/>
      <c r="B74" s="97" t="s">
        <v>591</v>
      </c>
      <c r="C74" s="53">
        <v>1</v>
      </c>
      <c r="D74" s="53">
        <f>+D38</f>
        <v>0</v>
      </c>
      <c r="E74" s="53">
        <f>+(E38+E109)*0.0155</f>
        <v>83.958333333333343</v>
      </c>
      <c r="F74" s="97">
        <f t="shared" ref="F74:F77" si="5">+C74*D74*E74</f>
        <v>0</v>
      </c>
      <c r="G74" s="85"/>
    </row>
    <row r="75" spans="1:7" ht="12.75" customHeight="1">
      <c r="A75" s="64"/>
      <c r="B75" s="97" t="s">
        <v>590</v>
      </c>
      <c r="C75" s="53">
        <v>1</v>
      </c>
      <c r="D75" s="53">
        <f t="shared" ref="D75:D77" si="6">+D39</f>
        <v>0</v>
      </c>
      <c r="E75" s="53">
        <f t="shared" ref="E75:E81" si="7">+(E39+E110)*0.0155</f>
        <v>83.958333333333343</v>
      </c>
      <c r="F75" s="97">
        <f t="shared" si="5"/>
        <v>0</v>
      </c>
      <c r="G75" s="85"/>
    </row>
    <row r="76" spans="1:7" ht="12.75" customHeight="1">
      <c r="A76" s="64"/>
      <c r="B76" s="97" t="s">
        <v>592</v>
      </c>
      <c r="C76" s="53">
        <v>1</v>
      </c>
      <c r="D76" s="53">
        <f t="shared" si="6"/>
        <v>0</v>
      </c>
      <c r="E76" s="53">
        <f t="shared" si="7"/>
        <v>83.958333333333343</v>
      </c>
      <c r="F76" s="97">
        <f t="shared" si="5"/>
        <v>0</v>
      </c>
      <c r="G76" s="85"/>
    </row>
    <row r="77" spans="1:7" ht="12.75" customHeight="1">
      <c r="A77" s="64"/>
      <c r="B77" s="97" t="s">
        <v>593</v>
      </c>
      <c r="C77" s="53">
        <v>1</v>
      </c>
      <c r="D77" s="53">
        <f t="shared" si="6"/>
        <v>0</v>
      </c>
      <c r="E77" s="53">
        <f t="shared" si="7"/>
        <v>83.958333333333343</v>
      </c>
      <c r="F77" s="97">
        <f t="shared" si="5"/>
        <v>0</v>
      </c>
      <c r="G77" s="85"/>
    </row>
    <row r="78" spans="1:7" ht="12.75" customHeight="1">
      <c r="A78" s="64"/>
      <c r="B78" s="97" t="str">
        <f>B42</f>
        <v>ASISTENTE TECNICO</v>
      </c>
      <c r="C78" s="53">
        <f t="shared" ref="C78:D81" si="8">+C42</f>
        <v>1</v>
      </c>
      <c r="D78" s="53">
        <f t="shared" si="8"/>
        <v>2</v>
      </c>
      <c r="E78" s="53">
        <f t="shared" si="7"/>
        <v>75.5625</v>
      </c>
      <c r="F78" s="97">
        <f>+C78*D78*E78</f>
        <v>151.125</v>
      </c>
      <c r="G78" s="85"/>
    </row>
    <row r="79" spans="1:7" ht="12.75" customHeight="1">
      <c r="A79" s="64"/>
      <c r="B79" s="97" t="s">
        <v>327</v>
      </c>
      <c r="C79" s="53">
        <f t="shared" si="8"/>
        <v>1</v>
      </c>
      <c r="D79" s="53">
        <f t="shared" si="8"/>
        <v>2</v>
      </c>
      <c r="E79" s="53">
        <f t="shared" si="7"/>
        <v>67.166666666666657</v>
      </c>
      <c r="F79" s="97">
        <f>+C79*D79*E79</f>
        <v>134.33333333333331</v>
      </c>
      <c r="G79" s="85"/>
    </row>
    <row r="80" spans="1:7" ht="12.75" customHeight="1">
      <c r="A80" s="64"/>
      <c r="B80" s="97" t="str">
        <f>B44</f>
        <v xml:space="preserve">MAESTRO DE OBRA </v>
      </c>
      <c r="C80" s="53">
        <f t="shared" si="8"/>
        <v>1</v>
      </c>
      <c r="D80" s="53">
        <f t="shared" si="8"/>
        <v>2</v>
      </c>
      <c r="E80" s="53">
        <f t="shared" si="7"/>
        <v>67.166666666666657</v>
      </c>
      <c r="F80" s="97">
        <f>+C80*D80*E80</f>
        <v>134.33333333333331</v>
      </c>
      <c r="G80" s="85"/>
    </row>
    <row r="81" spans="1:7" ht="12.75" customHeight="1">
      <c r="A81" s="64"/>
      <c r="B81" s="97" t="str">
        <f>B45</f>
        <v xml:space="preserve">ALMACENERO </v>
      </c>
      <c r="C81" s="53">
        <f t="shared" si="8"/>
        <v>1</v>
      </c>
      <c r="D81" s="53">
        <f t="shared" si="8"/>
        <v>2</v>
      </c>
      <c r="E81" s="53">
        <f t="shared" si="7"/>
        <v>41.979166666666671</v>
      </c>
      <c r="F81" s="97">
        <f>+C81*D81*E81</f>
        <v>83.958333333333343</v>
      </c>
      <c r="G81" s="85"/>
    </row>
    <row r="82" spans="1:7" ht="12.75" customHeight="1">
      <c r="A82" s="64"/>
      <c r="B82" s="495" t="s">
        <v>3</v>
      </c>
      <c r="C82" s="496"/>
      <c r="D82" s="496"/>
      <c r="E82" s="497"/>
      <c r="F82" s="259">
        <f>SUM(F73:F81)</f>
        <v>705.25</v>
      </c>
      <c r="G82" s="85"/>
    </row>
    <row r="83" spans="1:7" ht="12.75" customHeight="1">
      <c r="A83" s="64"/>
      <c r="B83" s="118"/>
      <c r="C83" s="118"/>
      <c r="D83" s="118"/>
      <c r="E83" s="118"/>
      <c r="F83" s="85"/>
      <c r="G83" s="85"/>
    </row>
    <row r="84" spans="1:7" ht="15" customHeight="1">
      <c r="A84" s="64"/>
      <c r="B84" s="85"/>
      <c r="C84" s="85"/>
      <c r="D84" s="86"/>
      <c r="E84" s="86"/>
      <c r="F84" s="85"/>
      <c r="G84" s="85"/>
    </row>
    <row r="85" spans="1:7" ht="14.25" customHeight="1">
      <c r="A85" s="215">
        <v>3</v>
      </c>
      <c r="B85" s="216" t="s">
        <v>22</v>
      </c>
      <c r="C85" s="217"/>
      <c r="D85" s="229"/>
      <c r="E85" s="219"/>
      <c r="F85" s="220" t="s">
        <v>0</v>
      </c>
      <c r="G85" s="221">
        <f>+F101+F117</f>
        <v>6999.9999999999991</v>
      </c>
    </row>
    <row r="86" spans="1:7" ht="18" customHeight="1">
      <c r="A86" s="83"/>
      <c r="B86" s="84"/>
      <c r="C86" s="85"/>
      <c r="D86" s="78"/>
      <c r="E86" s="16"/>
      <c r="F86" s="87"/>
      <c r="G86" s="88"/>
    </row>
    <row r="87" spans="1:7" ht="15" customHeight="1">
      <c r="A87" s="209">
        <v>3.01</v>
      </c>
      <c r="B87" s="92" t="s">
        <v>208</v>
      </c>
      <c r="C87" s="85"/>
      <c r="D87" s="86"/>
      <c r="E87" s="86"/>
      <c r="F87" s="87" t="s">
        <v>0</v>
      </c>
      <c r="G87" s="88">
        <f>+F101</f>
        <v>3499.9999999999995</v>
      </c>
    </row>
    <row r="88" spans="1:7" ht="15" customHeight="1">
      <c r="A88" s="91"/>
      <c r="B88" s="92"/>
      <c r="C88" s="85"/>
      <c r="D88" s="86"/>
      <c r="E88" s="86"/>
      <c r="F88" s="85"/>
      <c r="G88" s="85"/>
    </row>
    <row r="89" spans="1:7" ht="14.25" customHeight="1">
      <c r="A89" s="64"/>
      <c r="B89" s="106" t="s">
        <v>44</v>
      </c>
      <c r="C89" s="78"/>
      <c r="D89" s="94"/>
      <c r="E89" s="94"/>
      <c r="F89" s="78"/>
      <c r="G89" s="86"/>
    </row>
    <row r="90" spans="1:7" ht="14.25" customHeight="1">
      <c r="A90" s="64"/>
      <c r="B90" s="106"/>
      <c r="C90" s="78"/>
      <c r="D90" s="94"/>
      <c r="E90" s="94"/>
      <c r="F90" s="78"/>
      <c r="G90" s="86"/>
    </row>
    <row r="91" spans="1:7" ht="12.75" customHeight="1">
      <c r="A91" s="64"/>
      <c r="B91" s="95" t="s">
        <v>45</v>
      </c>
      <c r="C91" s="96" t="s">
        <v>46</v>
      </c>
      <c r="D91" s="96" t="s">
        <v>47</v>
      </c>
      <c r="E91" s="96" t="s">
        <v>14</v>
      </c>
      <c r="F91" s="96" t="s">
        <v>4</v>
      </c>
      <c r="G91" s="85"/>
    </row>
    <row r="92" spans="1:7" ht="12.75" customHeight="1">
      <c r="A92" s="64"/>
      <c r="B92" s="97" t="str">
        <f>B37</f>
        <v>RESIDENTE DE OBRA</v>
      </c>
      <c r="C92" s="53">
        <f>+C37</f>
        <v>1</v>
      </c>
      <c r="D92" s="53">
        <f>+D37</f>
        <v>2</v>
      </c>
      <c r="E92" s="53">
        <f>+E37/12</f>
        <v>500</v>
      </c>
      <c r="F92" s="97">
        <f>+C92*D92*E92</f>
        <v>1000</v>
      </c>
      <c r="G92" s="85"/>
    </row>
    <row r="93" spans="1:7" ht="12.75" customHeight="1">
      <c r="A93" s="64"/>
      <c r="B93" s="97" t="s">
        <v>591</v>
      </c>
      <c r="C93" s="53">
        <v>1</v>
      </c>
      <c r="D93" s="53">
        <f>+D38</f>
        <v>0</v>
      </c>
      <c r="E93" s="53">
        <f>+E38/12</f>
        <v>416.66666666666669</v>
      </c>
      <c r="F93" s="97">
        <f t="shared" ref="F93:F96" si="9">+C93*D93*E93</f>
        <v>0</v>
      </c>
      <c r="G93" s="85"/>
    </row>
    <row r="94" spans="1:7" ht="12.75" customHeight="1">
      <c r="A94" s="64"/>
      <c r="B94" s="97" t="s">
        <v>590</v>
      </c>
      <c r="C94" s="53">
        <v>1</v>
      </c>
      <c r="D94" s="53">
        <f t="shared" ref="D94:D96" si="10">+D39</f>
        <v>0</v>
      </c>
      <c r="E94" s="53">
        <f t="shared" ref="E94:E96" si="11">+E39/12</f>
        <v>416.66666666666669</v>
      </c>
      <c r="F94" s="97">
        <f t="shared" si="9"/>
        <v>0</v>
      </c>
      <c r="G94" s="85"/>
    </row>
    <row r="95" spans="1:7" ht="12.75" customHeight="1">
      <c r="A95" s="64"/>
      <c r="B95" s="97" t="s">
        <v>592</v>
      </c>
      <c r="C95" s="53">
        <v>1</v>
      </c>
      <c r="D95" s="53">
        <f t="shared" si="10"/>
        <v>0</v>
      </c>
      <c r="E95" s="53">
        <f t="shared" si="11"/>
        <v>416.66666666666669</v>
      </c>
      <c r="F95" s="97">
        <f t="shared" si="9"/>
        <v>0</v>
      </c>
      <c r="G95" s="85"/>
    </row>
    <row r="96" spans="1:7" ht="12.75" customHeight="1">
      <c r="A96" s="64"/>
      <c r="B96" s="97" t="s">
        <v>593</v>
      </c>
      <c r="C96" s="53">
        <v>1</v>
      </c>
      <c r="D96" s="53">
        <f t="shared" si="10"/>
        <v>0</v>
      </c>
      <c r="E96" s="53">
        <f t="shared" si="11"/>
        <v>416.66666666666669</v>
      </c>
      <c r="F96" s="97">
        <f t="shared" si="9"/>
        <v>0</v>
      </c>
      <c r="G96" s="85"/>
    </row>
    <row r="97" spans="1:7" ht="12.75" customHeight="1">
      <c r="A97" s="64"/>
      <c r="B97" s="97" t="str">
        <f>B42</f>
        <v>ASISTENTE TECNICO</v>
      </c>
      <c r="C97" s="53">
        <f t="shared" ref="C97:D100" si="12">+C42</f>
        <v>1</v>
      </c>
      <c r="D97" s="53">
        <f t="shared" si="12"/>
        <v>2</v>
      </c>
      <c r="E97" s="53">
        <f>+E42/12</f>
        <v>375</v>
      </c>
      <c r="F97" s="97">
        <f>+C97*D97*E97</f>
        <v>750</v>
      </c>
      <c r="G97" s="85"/>
    </row>
    <row r="98" spans="1:7" ht="12.75" customHeight="1">
      <c r="A98" s="64"/>
      <c r="B98" s="97" t="s">
        <v>327</v>
      </c>
      <c r="C98" s="53">
        <f t="shared" si="12"/>
        <v>1</v>
      </c>
      <c r="D98" s="53">
        <f t="shared" si="12"/>
        <v>2</v>
      </c>
      <c r="E98" s="53">
        <f>+E43/12</f>
        <v>333.33333333333331</v>
      </c>
      <c r="F98" s="97">
        <f>+C98*D98*E98</f>
        <v>666.66666666666663</v>
      </c>
      <c r="G98" s="85"/>
    </row>
    <row r="99" spans="1:7" ht="12.75" customHeight="1">
      <c r="A99" s="64"/>
      <c r="B99" s="97" t="str">
        <f>B44</f>
        <v xml:space="preserve">MAESTRO DE OBRA </v>
      </c>
      <c r="C99" s="53">
        <f t="shared" si="12"/>
        <v>1</v>
      </c>
      <c r="D99" s="53">
        <f t="shared" si="12"/>
        <v>2</v>
      </c>
      <c r="E99" s="53">
        <f>+E44/12</f>
        <v>333.33333333333331</v>
      </c>
      <c r="F99" s="97">
        <f>+C99*D99*E99</f>
        <v>666.66666666666663</v>
      </c>
      <c r="G99" s="85"/>
    </row>
    <row r="100" spans="1:7" ht="12.75" customHeight="1">
      <c r="A100" s="64"/>
      <c r="B100" s="97" t="str">
        <f>B45</f>
        <v xml:space="preserve">ALMACENERO </v>
      </c>
      <c r="C100" s="53">
        <f t="shared" si="12"/>
        <v>1</v>
      </c>
      <c r="D100" s="53">
        <f t="shared" si="12"/>
        <v>2</v>
      </c>
      <c r="E100" s="53">
        <f>+E45/12</f>
        <v>208.33333333333334</v>
      </c>
      <c r="F100" s="97">
        <f>+C100*D100*E100</f>
        <v>416.66666666666669</v>
      </c>
      <c r="G100" s="85"/>
    </row>
    <row r="101" spans="1:7" ht="12.75" customHeight="1">
      <c r="A101" s="64"/>
      <c r="B101" s="495" t="s">
        <v>3</v>
      </c>
      <c r="C101" s="496"/>
      <c r="D101" s="496"/>
      <c r="E101" s="497"/>
      <c r="F101" s="259">
        <f>SUM(F92:F100)</f>
        <v>3499.9999999999995</v>
      </c>
      <c r="G101" s="85"/>
    </row>
    <row r="102" spans="1:7" ht="15" customHeight="1">
      <c r="A102" s="64"/>
      <c r="B102" s="85"/>
      <c r="C102" s="85"/>
      <c r="D102" s="86"/>
      <c r="E102" s="86"/>
      <c r="F102" s="85"/>
      <c r="G102" s="85"/>
    </row>
    <row r="103" spans="1:7" ht="15" customHeight="1">
      <c r="A103" s="209">
        <v>3.02</v>
      </c>
      <c r="B103" s="92" t="s">
        <v>141</v>
      </c>
      <c r="C103" s="85"/>
      <c r="D103" s="86"/>
      <c r="E103" s="86"/>
      <c r="F103" s="87" t="s">
        <v>0</v>
      </c>
      <c r="G103" s="88">
        <f>+F117</f>
        <v>3499.9999999999995</v>
      </c>
    </row>
    <row r="104" spans="1:7" ht="15" customHeight="1">
      <c r="A104" s="91"/>
      <c r="B104" s="92"/>
      <c r="C104" s="85"/>
      <c r="D104" s="86"/>
      <c r="E104" s="86"/>
      <c r="F104" s="85"/>
      <c r="G104" s="85"/>
    </row>
    <row r="105" spans="1:7" ht="14.25" customHeight="1">
      <c r="A105" s="64"/>
      <c r="B105" s="106" t="s">
        <v>44</v>
      </c>
      <c r="C105" s="78"/>
      <c r="D105" s="94"/>
      <c r="E105" s="94"/>
      <c r="F105" s="78"/>
      <c r="G105" s="86"/>
    </row>
    <row r="106" spans="1:7" ht="14.25" customHeight="1">
      <c r="A106" s="64"/>
      <c r="B106" s="106"/>
      <c r="C106" s="78"/>
      <c r="D106" s="94"/>
      <c r="E106" s="94"/>
      <c r="F106" s="78"/>
      <c r="G106" s="86"/>
    </row>
    <row r="107" spans="1:7" ht="12.75" customHeight="1">
      <c r="A107" s="64"/>
      <c r="B107" s="95" t="s">
        <v>45</v>
      </c>
      <c r="C107" s="96" t="s">
        <v>46</v>
      </c>
      <c r="D107" s="96" t="s">
        <v>47</v>
      </c>
      <c r="E107" s="96" t="s">
        <v>14</v>
      </c>
      <c r="F107" s="96" t="s">
        <v>4</v>
      </c>
      <c r="G107" s="85"/>
    </row>
    <row r="108" spans="1:7" ht="12.75" customHeight="1">
      <c r="A108" s="64"/>
      <c r="B108" s="97" t="str">
        <f>B37</f>
        <v>RESIDENTE DE OBRA</v>
      </c>
      <c r="C108" s="53">
        <f>+C37</f>
        <v>1</v>
      </c>
      <c r="D108" s="53">
        <f>+D37</f>
        <v>2</v>
      </c>
      <c r="E108" s="53">
        <f>+E37/12</f>
        <v>500</v>
      </c>
      <c r="F108" s="97">
        <f>+C108*D108*E108</f>
        <v>1000</v>
      </c>
      <c r="G108" s="85"/>
    </row>
    <row r="109" spans="1:7" ht="12.75" customHeight="1">
      <c r="A109" s="64"/>
      <c r="B109" s="97" t="s">
        <v>591</v>
      </c>
      <c r="C109" s="53">
        <v>1</v>
      </c>
      <c r="D109" s="53">
        <f>+D38</f>
        <v>0</v>
      </c>
      <c r="E109" s="53">
        <f>+E38/12</f>
        <v>416.66666666666669</v>
      </c>
      <c r="F109" s="97">
        <f t="shared" ref="F109:F112" si="13">+C109*D109*E109</f>
        <v>0</v>
      </c>
      <c r="G109" s="85"/>
    </row>
    <row r="110" spans="1:7" ht="12.75" customHeight="1">
      <c r="A110" s="64"/>
      <c r="B110" s="97" t="s">
        <v>590</v>
      </c>
      <c r="C110" s="53">
        <v>1</v>
      </c>
      <c r="D110" s="53">
        <f t="shared" ref="D110:D112" si="14">+D39</f>
        <v>0</v>
      </c>
      <c r="E110" s="53">
        <f t="shared" ref="E110:E112" si="15">+E39/12</f>
        <v>416.66666666666669</v>
      </c>
      <c r="F110" s="97">
        <f t="shared" si="13"/>
        <v>0</v>
      </c>
      <c r="G110" s="85"/>
    </row>
    <row r="111" spans="1:7" ht="12.75" customHeight="1">
      <c r="A111" s="64"/>
      <c r="B111" s="97" t="s">
        <v>592</v>
      </c>
      <c r="C111" s="53">
        <v>1</v>
      </c>
      <c r="D111" s="53">
        <f t="shared" si="14"/>
        <v>0</v>
      </c>
      <c r="E111" s="53">
        <f t="shared" si="15"/>
        <v>416.66666666666669</v>
      </c>
      <c r="F111" s="97">
        <f t="shared" si="13"/>
        <v>0</v>
      </c>
      <c r="G111" s="85"/>
    </row>
    <row r="112" spans="1:7" ht="12.75" customHeight="1">
      <c r="A112" s="64"/>
      <c r="B112" s="97" t="s">
        <v>593</v>
      </c>
      <c r="C112" s="53">
        <v>1</v>
      </c>
      <c r="D112" s="53">
        <f t="shared" si="14"/>
        <v>0</v>
      </c>
      <c r="E112" s="53">
        <f t="shared" si="15"/>
        <v>416.66666666666669</v>
      </c>
      <c r="F112" s="97">
        <f t="shared" si="13"/>
        <v>0</v>
      </c>
      <c r="G112" s="85"/>
    </row>
    <row r="113" spans="1:7" ht="12.75" customHeight="1">
      <c r="A113" s="64"/>
      <c r="B113" s="97" t="str">
        <f>B42</f>
        <v>ASISTENTE TECNICO</v>
      </c>
      <c r="C113" s="53">
        <f t="shared" ref="C113:D116" si="16">+C42</f>
        <v>1</v>
      </c>
      <c r="D113" s="53">
        <f t="shared" si="16"/>
        <v>2</v>
      </c>
      <c r="E113" s="53">
        <f>+E42/12</f>
        <v>375</v>
      </c>
      <c r="F113" s="97">
        <f>+C113*D113*E113</f>
        <v>750</v>
      </c>
      <c r="G113" s="85"/>
    </row>
    <row r="114" spans="1:7" ht="12.75" customHeight="1">
      <c r="A114" s="64"/>
      <c r="B114" s="97" t="s">
        <v>327</v>
      </c>
      <c r="C114" s="53">
        <f t="shared" si="16"/>
        <v>1</v>
      </c>
      <c r="D114" s="53">
        <f t="shared" si="16"/>
        <v>2</v>
      </c>
      <c r="E114" s="53">
        <f>+E43/12</f>
        <v>333.33333333333331</v>
      </c>
      <c r="F114" s="97">
        <f>+C114*D114*E114</f>
        <v>666.66666666666663</v>
      </c>
      <c r="G114" s="85"/>
    </row>
    <row r="115" spans="1:7" ht="12.75" customHeight="1">
      <c r="A115" s="64"/>
      <c r="B115" s="97" t="str">
        <f>B44</f>
        <v xml:space="preserve">MAESTRO DE OBRA </v>
      </c>
      <c r="C115" s="53">
        <f t="shared" si="16"/>
        <v>1</v>
      </c>
      <c r="D115" s="53">
        <f t="shared" si="16"/>
        <v>2</v>
      </c>
      <c r="E115" s="53">
        <f>+E44/12</f>
        <v>333.33333333333331</v>
      </c>
      <c r="F115" s="97">
        <f>+C115*D115*E115</f>
        <v>666.66666666666663</v>
      </c>
      <c r="G115" s="85"/>
    </row>
    <row r="116" spans="1:7" ht="12.75" customHeight="1">
      <c r="A116" s="64"/>
      <c r="B116" s="97" t="str">
        <f>B45</f>
        <v xml:space="preserve">ALMACENERO </v>
      </c>
      <c r="C116" s="53">
        <f t="shared" si="16"/>
        <v>1</v>
      </c>
      <c r="D116" s="53">
        <f t="shared" si="16"/>
        <v>2</v>
      </c>
      <c r="E116" s="53">
        <f>+E45/12</f>
        <v>208.33333333333334</v>
      </c>
      <c r="F116" s="97">
        <f>+C116*D116*E116</f>
        <v>416.66666666666669</v>
      </c>
      <c r="G116" s="85"/>
    </row>
    <row r="117" spans="1:7" ht="12.75" customHeight="1">
      <c r="A117" s="64"/>
      <c r="B117" s="495" t="s">
        <v>3</v>
      </c>
      <c r="C117" s="496"/>
      <c r="D117" s="496"/>
      <c r="E117" s="497"/>
      <c r="F117" s="259">
        <f>SUM(F108:F116)</f>
        <v>3499.9999999999995</v>
      </c>
      <c r="G117" s="85"/>
    </row>
    <row r="118" spans="1:7" ht="15" customHeight="1">
      <c r="A118" s="64"/>
      <c r="B118" s="85"/>
      <c r="C118" s="85"/>
      <c r="D118" s="86"/>
      <c r="E118" s="86"/>
      <c r="F118" s="85"/>
      <c r="G118" s="85"/>
    </row>
    <row r="119" spans="1:7" ht="14.25" customHeight="1">
      <c r="A119" s="215">
        <v>4</v>
      </c>
      <c r="B119" s="216" t="s">
        <v>267</v>
      </c>
      <c r="C119" s="217"/>
      <c r="D119" s="229"/>
      <c r="E119" s="219"/>
      <c r="F119" s="220" t="s">
        <v>0</v>
      </c>
      <c r="G119" s="221">
        <f>+G121</f>
        <v>8333.3333333333321</v>
      </c>
    </row>
    <row r="120" spans="1:7" ht="18" customHeight="1">
      <c r="A120" s="83"/>
      <c r="B120" s="39"/>
      <c r="C120" s="85"/>
      <c r="D120" s="78"/>
      <c r="E120" s="16"/>
      <c r="F120" s="87"/>
      <c r="G120" s="88"/>
    </row>
    <row r="121" spans="1:7" ht="15" customHeight="1">
      <c r="A121" s="209">
        <v>4.01</v>
      </c>
      <c r="B121" s="92" t="s">
        <v>140</v>
      </c>
      <c r="C121" s="85"/>
      <c r="D121" s="86"/>
      <c r="E121" s="86"/>
      <c r="F121" s="87" t="s">
        <v>0</v>
      </c>
      <c r="G121" s="88">
        <f>+F135</f>
        <v>8333.3333333333321</v>
      </c>
    </row>
    <row r="122" spans="1:7" ht="15" customHeight="1">
      <c r="A122" s="91"/>
      <c r="B122" s="92"/>
      <c r="C122" s="85"/>
      <c r="D122" s="86"/>
      <c r="E122" s="86"/>
      <c r="F122" s="85"/>
      <c r="G122" s="85"/>
    </row>
    <row r="123" spans="1:7" ht="14.25" customHeight="1">
      <c r="A123" s="64"/>
      <c r="B123" s="106" t="s">
        <v>44</v>
      </c>
      <c r="C123" s="78"/>
      <c r="D123" s="94"/>
      <c r="E123" s="94"/>
      <c r="F123" s="78"/>
      <c r="G123" s="86"/>
    </row>
    <row r="124" spans="1:7" ht="14.25" customHeight="1">
      <c r="A124" s="64"/>
      <c r="B124" s="106"/>
      <c r="C124" s="78"/>
      <c r="D124" s="94"/>
      <c r="E124" s="94"/>
      <c r="F124" s="78"/>
      <c r="G124" s="86"/>
    </row>
    <row r="125" spans="1:7" ht="12.75" customHeight="1">
      <c r="A125" s="64"/>
      <c r="B125" s="95" t="s">
        <v>45</v>
      </c>
      <c r="C125" s="96" t="s">
        <v>46</v>
      </c>
      <c r="D125" s="96" t="s">
        <v>47</v>
      </c>
      <c r="E125" s="96" t="s">
        <v>14</v>
      </c>
      <c r="F125" s="96" t="s">
        <v>4</v>
      </c>
      <c r="G125" s="85"/>
    </row>
    <row r="126" spans="1:7" ht="12.75" customHeight="1">
      <c r="A126" s="64"/>
      <c r="B126" s="97" t="str">
        <f>B37</f>
        <v>RESIDENTE DE OBRA</v>
      </c>
      <c r="C126" s="53">
        <f>+C37</f>
        <v>1</v>
      </c>
      <c r="D126" s="53">
        <f>+D37</f>
        <v>2</v>
      </c>
      <c r="E126" s="53">
        <f>+E37/12*2</f>
        <v>1000</v>
      </c>
      <c r="F126" s="97">
        <f>+C126*D126*E126</f>
        <v>2000</v>
      </c>
      <c r="G126" s="85"/>
    </row>
    <row r="127" spans="1:7" ht="12.75" customHeight="1">
      <c r="A127" s="64"/>
      <c r="B127" s="97" t="s">
        <v>591</v>
      </c>
      <c r="C127" s="53">
        <v>1</v>
      </c>
      <c r="D127" s="53">
        <f>+D38</f>
        <v>0</v>
      </c>
      <c r="E127" s="53">
        <f>+E38/12*2</f>
        <v>833.33333333333337</v>
      </c>
      <c r="F127" s="97">
        <f t="shared" ref="F127:F130" si="17">+C127*D127*E127</f>
        <v>0</v>
      </c>
      <c r="G127" s="85"/>
    </row>
    <row r="128" spans="1:7" ht="12.75" customHeight="1">
      <c r="A128" s="64"/>
      <c r="B128" s="97" t="s">
        <v>590</v>
      </c>
      <c r="C128" s="53">
        <v>1</v>
      </c>
      <c r="D128" s="53">
        <f t="shared" ref="D128:D130" si="18">+D39</f>
        <v>0</v>
      </c>
      <c r="E128" s="53">
        <f t="shared" ref="E128:E130" si="19">+E39/12*2</f>
        <v>833.33333333333337</v>
      </c>
      <c r="F128" s="97">
        <f t="shared" si="17"/>
        <v>0</v>
      </c>
      <c r="G128" s="85"/>
    </row>
    <row r="129" spans="1:8" ht="12.75" customHeight="1">
      <c r="A129" s="64"/>
      <c r="B129" s="97" t="s">
        <v>592</v>
      </c>
      <c r="C129" s="53">
        <v>1</v>
      </c>
      <c r="D129" s="53">
        <f t="shared" si="18"/>
        <v>0</v>
      </c>
      <c r="E129" s="53">
        <f t="shared" si="19"/>
        <v>833.33333333333337</v>
      </c>
      <c r="F129" s="97">
        <f t="shared" si="17"/>
        <v>0</v>
      </c>
      <c r="G129" s="85"/>
    </row>
    <row r="130" spans="1:8" ht="12.75" customHeight="1">
      <c r="A130" s="64"/>
      <c r="B130" s="97" t="s">
        <v>593</v>
      </c>
      <c r="C130" s="53">
        <v>1</v>
      </c>
      <c r="D130" s="53">
        <f t="shared" si="18"/>
        <v>0</v>
      </c>
      <c r="E130" s="53">
        <f t="shared" si="19"/>
        <v>833.33333333333337</v>
      </c>
      <c r="F130" s="97">
        <f t="shared" si="17"/>
        <v>0</v>
      </c>
      <c r="G130" s="85"/>
    </row>
    <row r="131" spans="1:8" ht="12.75" customHeight="1">
      <c r="A131" s="64"/>
      <c r="B131" s="97" t="str">
        <f>B42</f>
        <v>ASISTENTE TECNICO</v>
      </c>
      <c r="C131" s="53">
        <f>+C42</f>
        <v>1</v>
      </c>
      <c r="D131" s="53">
        <f>+D42</f>
        <v>2</v>
      </c>
      <c r="E131" s="53">
        <f>+E42/12*2</f>
        <v>750</v>
      </c>
      <c r="F131" s="97">
        <f>+C131*D131*E131</f>
        <v>1500</v>
      </c>
      <c r="G131" s="85"/>
    </row>
    <row r="132" spans="1:8" ht="12.75" customHeight="1">
      <c r="A132" s="64"/>
      <c r="B132" s="97" t="s">
        <v>327</v>
      </c>
      <c r="C132" s="53">
        <v>2</v>
      </c>
      <c r="D132" s="53">
        <f>+D43</f>
        <v>2</v>
      </c>
      <c r="E132" s="53">
        <f>+E43/12*2</f>
        <v>666.66666666666663</v>
      </c>
      <c r="F132" s="97">
        <f>+C132*D132*E132</f>
        <v>2666.6666666666665</v>
      </c>
      <c r="G132" s="85"/>
    </row>
    <row r="133" spans="1:8" ht="12.75" customHeight="1">
      <c r="A133" s="64"/>
      <c r="B133" s="97" t="str">
        <f>B44</f>
        <v xml:space="preserve">MAESTRO DE OBRA </v>
      </c>
      <c r="C133" s="53">
        <f>+C44</f>
        <v>1</v>
      </c>
      <c r="D133" s="53">
        <f>+D44</f>
        <v>2</v>
      </c>
      <c r="E133" s="53">
        <f>+E44/12*2</f>
        <v>666.66666666666663</v>
      </c>
      <c r="F133" s="97">
        <f>+C133*D133*E133</f>
        <v>1333.3333333333333</v>
      </c>
      <c r="G133" s="85"/>
    </row>
    <row r="134" spans="1:8" ht="12.75" customHeight="1">
      <c r="A134" s="64"/>
      <c r="B134" s="97" t="str">
        <f>B45</f>
        <v xml:space="preserve">ALMACENERO </v>
      </c>
      <c r="C134" s="53">
        <f>+C45</f>
        <v>1</v>
      </c>
      <c r="D134" s="53">
        <f>+D45</f>
        <v>2</v>
      </c>
      <c r="E134" s="53">
        <f>+E45/12*2</f>
        <v>416.66666666666669</v>
      </c>
      <c r="F134" s="97">
        <f>+C134*D134*E134</f>
        <v>833.33333333333337</v>
      </c>
      <c r="G134" s="85"/>
    </row>
    <row r="135" spans="1:8" ht="12.75" customHeight="1">
      <c r="A135" s="64"/>
      <c r="B135" s="495" t="s">
        <v>3</v>
      </c>
      <c r="C135" s="496"/>
      <c r="D135" s="496"/>
      <c r="E135" s="497"/>
      <c r="F135" s="259">
        <f>SUM(F126:F134)</f>
        <v>8333.3333333333321</v>
      </c>
      <c r="G135" s="85"/>
    </row>
    <row r="136" spans="1:8" ht="15" customHeight="1">
      <c r="A136" s="64"/>
      <c r="B136" s="85"/>
      <c r="C136" s="85"/>
      <c r="D136" s="86"/>
      <c r="E136" s="86"/>
      <c r="F136" s="85"/>
      <c r="G136" s="85"/>
    </row>
    <row r="137" spans="1:8" ht="15" customHeight="1">
      <c r="A137" s="64"/>
      <c r="B137" s="85"/>
      <c r="C137" s="85"/>
      <c r="D137" s="86"/>
      <c r="E137" s="86"/>
      <c r="F137" s="85"/>
      <c r="G137" s="85"/>
    </row>
    <row r="138" spans="1:8" s="182" customFormat="1" ht="15.75">
      <c r="A138" s="242" t="s">
        <v>206</v>
      </c>
      <c r="B138" s="243"/>
      <c r="C138" s="239"/>
      <c r="D138" s="239"/>
      <c r="E138" s="240"/>
      <c r="F138" s="240" t="s">
        <v>0</v>
      </c>
      <c r="G138" s="241">
        <f>+G140+G148</f>
        <v>704.2</v>
      </c>
      <c r="H138" s="208"/>
    </row>
    <row r="139" spans="1:8" s="182" customFormat="1" ht="15.75">
      <c r="A139" s="210"/>
      <c r="B139" s="211"/>
      <c r="C139" s="212"/>
      <c r="D139" s="212"/>
      <c r="E139" s="213"/>
      <c r="F139" s="213"/>
      <c r="G139" s="214"/>
      <c r="H139" s="208"/>
    </row>
    <row r="140" spans="1:8" ht="15.75" customHeight="1">
      <c r="A140" s="83">
        <v>1</v>
      </c>
      <c r="B140" s="84" t="s">
        <v>40</v>
      </c>
      <c r="C140" s="85"/>
      <c r="D140" s="85"/>
      <c r="E140" s="86"/>
      <c r="F140" s="87" t="s">
        <v>0</v>
      </c>
      <c r="G140" s="88">
        <f>F146</f>
        <v>0</v>
      </c>
    </row>
    <row r="141" spans="1:8" ht="12.75" customHeight="1">
      <c r="A141" s="91"/>
      <c r="B141" s="92"/>
      <c r="C141" s="85"/>
      <c r="D141" s="85"/>
      <c r="E141" s="86"/>
      <c r="F141" s="85"/>
      <c r="G141" s="85"/>
      <c r="H141" s="189"/>
    </row>
    <row r="142" spans="1:8" ht="12.75" customHeight="1">
      <c r="A142" s="64"/>
      <c r="B142" s="134" t="s">
        <v>24</v>
      </c>
      <c r="C142" s="134" t="s">
        <v>2</v>
      </c>
      <c r="D142" s="134" t="s">
        <v>25</v>
      </c>
      <c r="E142" s="134" t="s">
        <v>5</v>
      </c>
      <c r="F142" s="134" t="s">
        <v>4</v>
      </c>
      <c r="G142" s="118"/>
    </row>
    <row r="143" spans="1:8" ht="13.5" customHeight="1">
      <c r="A143" s="51"/>
      <c r="B143" s="116" t="s">
        <v>120</v>
      </c>
      <c r="C143" s="99" t="s">
        <v>8</v>
      </c>
      <c r="D143" s="108">
        <v>0</v>
      </c>
      <c r="E143" s="109">
        <v>250</v>
      </c>
      <c r="F143" s="1">
        <f>+D143*E143</f>
        <v>0</v>
      </c>
      <c r="G143" s="32"/>
    </row>
    <row r="144" spans="1:8" ht="12.75" customHeight="1">
      <c r="A144" s="64"/>
      <c r="B144" s="114" t="s">
        <v>108</v>
      </c>
      <c r="C144" s="100" t="s">
        <v>2</v>
      </c>
      <c r="D144" s="104">
        <v>0</v>
      </c>
      <c r="E144" s="104">
        <v>35</v>
      </c>
      <c r="F144" s="10">
        <f>+D144*E144</f>
        <v>0</v>
      </c>
      <c r="G144" s="103"/>
    </row>
    <row r="145" spans="1:7" ht="12.75" customHeight="1">
      <c r="A145" s="64"/>
      <c r="B145" s="114"/>
      <c r="C145" s="100"/>
      <c r="D145" s="104"/>
      <c r="E145" s="104"/>
      <c r="F145" s="10"/>
      <c r="G145" s="103"/>
    </row>
    <row r="146" spans="1:7" ht="12.75" customHeight="1">
      <c r="A146" s="64"/>
      <c r="B146" s="486" t="s">
        <v>3</v>
      </c>
      <c r="C146" s="486"/>
      <c r="D146" s="486"/>
      <c r="E146" s="486"/>
      <c r="F146" s="135">
        <f>SUM(F143:F144)</f>
        <v>0</v>
      </c>
      <c r="G146" s="103"/>
    </row>
    <row r="147" spans="1:7" ht="12.75" customHeight="1">
      <c r="A147" s="93"/>
      <c r="B147" s="118"/>
      <c r="C147" s="118"/>
      <c r="D147" s="118"/>
      <c r="E147" s="118"/>
      <c r="F147" s="85"/>
      <c r="G147" s="78"/>
    </row>
    <row r="148" spans="1:7" ht="12.75" customHeight="1">
      <c r="A148" s="215">
        <v>2</v>
      </c>
      <c r="B148" s="216" t="s">
        <v>132</v>
      </c>
      <c r="C148" s="217"/>
      <c r="D148" s="218"/>
      <c r="E148" s="219"/>
      <c r="F148" s="220" t="s">
        <v>0</v>
      </c>
      <c r="G148" s="221">
        <f>+G151</f>
        <v>704.2</v>
      </c>
    </row>
    <row r="149" spans="1:7" ht="12.75" customHeight="1">
      <c r="A149" s="83"/>
      <c r="B149" s="84"/>
      <c r="C149" s="85"/>
      <c r="D149" s="86"/>
      <c r="E149" s="16"/>
      <c r="F149" s="87"/>
      <c r="G149" s="88"/>
    </row>
    <row r="150" spans="1:7" ht="12.75" customHeight="1">
      <c r="A150" s="91"/>
      <c r="B150" s="92"/>
      <c r="C150" s="85"/>
      <c r="D150" s="86"/>
      <c r="E150" s="86"/>
      <c r="F150" s="85"/>
      <c r="G150" s="78"/>
    </row>
    <row r="151" spans="1:7" ht="12.75" customHeight="1">
      <c r="A151" s="209">
        <v>2.0099999999999998</v>
      </c>
      <c r="B151" s="92" t="s">
        <v>55</v>
      </c>
      <c r="C151" s="85"/>
      <c r="D151" s="86"/>
      <c r="E151" s="86"/>
      <c r="F151" s="87" t="s">
        <v>0</v>
      </c>
      <c r="G151" s="88">
        <f>+F184</f>
        <v>704.2</v>
      </c>
    </row>
    <row r="152" spans="1:7" ht="12.75" customHeight="1">
      <c r="A152" s="91"/>
      <c r="B152" s="92"/>
      <c r="C152" s="85"/>
      <c r="D152" s="86"/>
      <c r="E152" s="86"/>
      <c r="F152" s="85"/>
      <c r="G152" s="78"/>
    </row>
    <row r="153" spans="1:7" ht="12.75" customHeight="1">
      <c r="A153" s="64"/>
      <c r="B153" s="95" t="s">
        <v>53</v>
      </c>
      <c r="C153" s="96" t="s">
        <v>63</v>
      </c>
      <c r="D153" s="96" t="s">
        <v>25</v>
      </c>
      <c r="E153" s="96" t="s">
        <v>5</v>
      </c>
      <c r="F153" s="96" t="s">
        <v>4</v>
      </c>
      <c r="G153" s="78"/>
    </row>
    <row r="154" spans="1:7" ht="12.75" customHeight="1">
      <c r="A154" s="64"/>
      <c r="B154" s="54" t="s">
        <v>334</v>
      </c>
      <c r="C154" s="110" t="s">
        <v>2</v>
      </c>
      <c r="D154" s="110">
        <v>0</v>
      </c>
      <c r="E154" s="110">
        <v>4500</v>
      </c>
      <c r="F154" s="54">
        <f t="shared" ref="F154:F183" si="20">+D154*E154</f>
        <v>0</v>
      </c>
      <c r="G154" s="78"/>
    </row>
    <row r="155" spans="1:7" ht="12.75" customHeight="1">
      <c r="A155" s="64"/>
      <c r="B155" s="54" t="s">
        <v>335</v>
      </c>
      <c r="C155" s="110" t="s">
        <v>2</v>
      </c>
      <c r="D155" s="110">
        <v>0</v>
      </c>
      <c r="E155" s="110">
        <v>900</v>
      </c>
      <c r="F155" s="54">
        <f t="shared" si="20"/>
        <v>0</v>
      </c>
      <c r="G155" s="78"/>
    </row>
    <row r="156" spans="1:7" ht="12.75" customHeight="1">
      <c r="A156" s="64"/>
      <c r="B156" s="54" t="s">
        <v>59</v>
      </c>
      <c r="C156" s="110" t="s">
        <v>2</v>
      </c>
      <c r="D156" s="110">
        <v>10</v>
      </c>
      <c r="E156" s="110">
        <v>25</v>
      </c>
      <c r="F156" s="54">
        <f t="shared" si="20"/>
        <v>250</v>
      </c>
      <c r="G156" s="78"/>
    </row>
    <row r="157" spans="1:7" ht="12.75" customHeight="1">
      <c r="A157" s="64"/>
      <c r="B157" s="54" t="s">
        <v>105</v>
      </c>
      <c r="C157" s="110" t="s">
        <v>2</v>
      </c>
      <c r="D157" s="110">
        <v>0</v>
      </c>
      <c r="E157" s="110">
        <v>1</v>
      </c>
      <c r="F157" s="54">
        <f t="shared" si="20"/>
        <v>0</v>
      </c>
      <c r="G157" s="78"/>
    </row>
    <row r="158" spans="1:7" ht="12.75" customHeight="1">
      <c r="A158" s="64"/>
      <c r="B158" s="54" t="s">
        <v>103</v>
      </c>
      <c r="C158" s="110" t="s">
        <v>2</v>
      </c>
      <c r="D158" s="110">
        <v>0</v>
      </c>
      <c r="E158" s="110">
        <v>1</v>
      </c>
      <c r="F158" s="54">
        <f t="shared" si="20"/>
        <v>0</v>
      </c>
      <c r="G158" s="78"/>
    </row>
    <row r="159" spans="1:7" ht="12.75" customHeight="1">
      <c r="A159" s="64"/>
      <c r="B159" s="54" t="s">
        <v>115</v>
      </c>
      <c r="C159" s="110" t="s">
        <v>2</v>
      </c>
      <c r="D159" s="110">
        <v>24</v>
      </c>
      <c r="E159" s="110">
        <v>2</v>
      </c>
      <c r="F159" s="54">
        <f t="shared" si="20"/>
        <v>48</v>
      </c>
      <c r="G159" s="78"/>
    </row>
    <row r="160" spans="1:7" ht="12.75" customHeight="1">
      <c r="A160" s="64"/>
      <c r="B160" s="54" t="s">
        <v>93</v>
      </c>
      <c r="C160" s="110" t="s">
        <v>2</v>
      </c>
      <c r="D160" s="110">
        <v>0</v>
      </c>
      <c r="E160" s="110">
        <v>5.5</v>
      </c>
      <c r="F160" s="54">
        <f t="shared" si="20"/>
        <v>0</v>
      </c>
      <c r="G160" s="78"/>
    </row>
    <row r="161" spans="1:7" ht="12.75" customHeight="1">
      <c r="A161" s="64"/>
      <c r="B161" s="54" t="s">
        <v>101</v>
      </c>
      <c r="C161" s="110" t="s">
        <v>2</v>
      </c>
      <c r="D161" s="110">
        <v>0</v>
      </c>
      <c r="E161" s="110">
        <v>5</v>
      </c>
      <c r="F161" s="54">
        <f t="shared" si="20"/>
        <v>0</v>
      </c>
      <c r="G161" s="78"/>
    </row>
    <row r="162" spans="1:7" ht="12.75" customHeight="1">
      <c r="A162" s="64"/>
      <c r="B162" s="54" t="s">
        <v>57</v>
      </c>
      <c r="C162" s="110" t="s">
        <v>2</v>
      </c>
      <c r="D162" s="110">
        <v>0</v>
      </c>
      <c r="E162" s="110">
        <v>6</v>
      </c>
      <c r="F162" s="54">
        <f t="shared" si="20"/>
        <v>0</v>
      </c>
      <c r="G162" s="78"/>
    </row>
    <row r="163" spans="1:7" ht="12.75" customHeight="1">
      <c r="A163" s="64"/>
      <c r="B163" s="54" t="s">
        <v>58</v>
      </c>
      <c r="C163" s="110" t="s">
        <v>2</v>
      </c>
      <c r="D163" s="110">
        <v>0</v>
      </c>
      <c r="E163" s="110">
        <v>6</v>
      </c>
      <c r="F163" s="54">
        <f t="shared" si="20"/>
        <v>0</v>
      </c>
      <c r="G163" s="78"/>
    </row>
    <row r="164" spans="1:7" ht="12.75" customHeight="1">
      <c r="A164" s="64"/>
      <c r="B164" s="54" t="s">
        <v>126</v>
      </c>
      <c r="C164" s="110" t="s">
        <v>2</v>
      </c>
      <c r="D164" s="110">
        <v>0</v>
      </c>
      <c r="E164" s="110">
        <v>1.5</v>
      </c>
      <c r="F164" s="54">
        <f t="shared" si="20"/>
        <v>0</v>
      </c>
      <c r="G164" s="78"/>
    </row>
    <row r="165" spans="1:7" ht="12.75" customHeight="1">
      <c r="A165" s="64"/>
      <c r="B165" s="54" t="s">
        <v>286</v>
      </c>
      <c r="C165" s="110" t="s">
        <v>2</v>
      </c>
      <c r="D165" s="110">
        <v>0</v>
      </c>
      <c r="E165" s="110">
        <v>50</v>
      </c>
      <c r="F165" s="54">
        <f t="shared" si="20"/>
        <v>0</v>
      </c>
      <c r="G165" s="78"/>
    </row>
    <row r="166" spans="1:7" ht="12.75" customHeight="1">
      <c r="A166" s="64"/>
      <c r="B166" s="54" t="s">
        <v>287</v>
      </c>
      <c r="C166" s="110" t="s">
        <v>2</v>
      </c>
      <c r="D166" s="110">
        <v>0</v>
      </c>
      <c r="E166" s="110">
        <v>10</v>
      </c>
      <c r="F166" s="54">
        <f t="shared" si="20"/>
        <v>0</v>
      </c>
      <c r="G166" s="78"/>
    </row>
    <row r="167" spans="1:7" ht="12.75" customHeight="1">
      <c r="A167" s="64"/>
      <c r="B167" s="119" t="s">
        <v>116</v>
      </c>
      <c r="C167" s="120" t="s">
        <v>2</v>
      </c>
      <c r="D167" s="120">
        <v>2</v>
      </c>
      <c r="E167" s="120">
        <v>8</v>
      </c>
      <c r="F167" s="54">
        <f t="shared" si="20"/>
        <v>16</v>
      </c>
      <c r="G167" s="78"/>
    </row>
    <row r="168" spans="1:7" ht="12.75" customHeight="1">
      <c r="A168" s="64"/>
      <c r="B168" s="54" t="s">
        <v>117</v>
      </c>
      <c r="C168" s="110" t="s">
        <v>2</v>
      </c>
      <c r="D168" s="110">
        <v>1</v>
      </c>
      <c r="E168" s="110">
        <v>25</v>
      </c>
      <c r="F168" s="54">
        <f t="shared" si="20"/>
        <v>25</v>
      </c>
      <c r="G168" s="78"/>
    </row>
    <row r="169" spans="1:7" ht="12.75" customHeight="1">
      <c r="A169" s="64"/>
      <c r="B169" s="54" t="s">
        <v>92</v>
      </c>
      <c r="C169" s="110" t="s">
        <v>54</v>
      </c>
      <c r="D169" s="110">
        <v>1</v>
      </c>
      <c r="E169" s="110">
        <v>6</v>
      </c>
      <c r="F169" s="54">
        <f t="shared" si="20"/>
        <v>6</v>
      </c>
      <c r="G169" s="78"/>
    </row>
    <row r="170" spans="1:7" ht="12.75" customHeight="1">
      <c r="A170" s="64"/>
      <c r="B170" s="54" t="s">
        <v>91</v>
      </c>
      <c r="C170" s="110" t="s">
        <v>2</v>
      </c>
      <c r="D170" s="110">
        <v>25</v>
      </c>
      <c r="E170" s="110">
        <v>0.8</v>
      </c>
      <c r="F170" s="54">
        <f t="shared" si="20"/>
        <v>20</v>
      </c>
      <c r="G170" s="78"/>
    </row>
    <row r="171" spans="1:7" ht="12.75" customHeight="1">
      <c r="A171" s="64"/>
      <c r="B171" s="54" t="s">
        <v>106</v>
      </c>
      <c r="C171" s="110" t="s">
        <v>2</v>
      </c>
      <c r="D171" s="110">
        <v>24</v>
      </c>
      <c r="E171" s="110">
        <v>0.8</v>
      </c>
      <c r="F171" s="54">
        <f t="shared" si="20"/>
        <v>19.200000000000003</v>
      </c>
      <c r="G171" s="78"/>
    </row>
    <row r="172" spans="1:7" ht="12.75" customHeight="1">
      <c r="A172" s="64"/>
      <c r="B172" s="54" t="s">
        <v>102</v>
      </c>
      <c r="C172" s="110" t="s">
        <v>2</v>
      </c>
      <c r="D172" s="110">
        <v>0</v>
      </c>
      <c r="E172" s="110">
        <v>3.5</v>
      </c>
      <c r="F172" s="54">
        <f t="shared" si="20"/>
        <v>0</v>
      </c>
      <c r="G172" s="78"/>
    </row>
    <row r="173" spans="1:7" ht="12.75" customHeight="1">
      <c r="A173" s="64"/>
      <c r="B173" s="54" t="s">
        <v>62</v>
      </c>
      <c r="C173" s="110" t="s">
        <v>56</v>
      </c>
      <c r="D173" s="110">
        <v>10</v>
      </c>
      <c r="E173" s="110">
        <v>32</v>
      </c>
      <c r="F173" s="54">
        <f t="shared" si="20"/>
        <v>320</v>
      </c>
      <c r="G173" s="78"/>
    </row>
    <row r="174" spans="1:7" ht="12.75" customHeight="1">
      <c r="A174" s="64"/>
      <c r="B174" s="54" t="s">
        <v>285</v>
      </c>
      <c r="C174" s="110" t="s">
        <v>118</v>
      </c>
      <c r="D174" s="110">
        <v>0</v>
      </c>
      <c r="E174" s="110">
        <v>30</v>
      </c>
      <c r="F174" s="54">
        <f t="shared" si="20"/>
        <v>0</v>
      </c>
      <c r="G174" s="78"/>
    </row>
    <row r="175" spans="1:7" ht="12.75" customHeight="1">
      <c r="A175" s="64"/>
      <c r="B175" s="54" t="s">
        <v>288</v>
      </c>
      <c r="C175" s="110" t="s">
        <v>118</v>
      </c>
      <c r="D175" s="110">
        <v>0</v>
      </c>
      <c r="E175" s="110">
        <v>25</v>
      </c>
      <c r="F175" s="54">
        <f t="shared" si="20"/>
        <v>0</v>
      </c>
      <c r="G175" s="78"/>
    </row>
    <row r="176" spans="1:7" ht="12.75" customHeight="1">
      <c r="A176" s="64"/>
      <c r="B176" s="54" t="s">
        <v>289</v>
      </c>
      <c r="C176" s="110" t="s">
        <v>118</v>
      </c>
      <c r="D176" s="110">
        <v>0</v>
      </c>
      <c r="E176" s="110">
        <v>25</v>
      </c>
      <c r="F176" s="54">
        <f t="shared" si="20"/>
        <v>0</v>
      </c>
      <c r="G176" s="78"/>
    </row>
    <row r="177" spans="1:8" ht="12.75" customHeight="1">
      <c r="A177" s="64"/>
      <c r="B177" s="54" t="s">
        <v>290</v>
      </c>
      <c r="C177" s="110" t="s">
        <v>2</v>
      </c>
      <c r="D177" s="110">
        <v>0</v>
      </c>
      <c r="E177" s="110">
        <v>1</v>
      </c>
      <c r="F177" s="54">
        <f t="shared" si="20"/>
        <v>0</v>
      </c>
      <c r="G177" s="78"/>
    </row>
    <row r="178" spans="1:8" ht="12.75" customHeight="1">
      <c r="A178" s="64"/>
      <c r="B178" s="54" t="s">
        <v>99</v>
      </c>
      <c r="C178" s="110" t="s">
        <v>2</v>
      </c>
      <c r="D178" s="110">
        <v>0</v>
      </c>
      <c r="E178" s="110">
        <v>4.5</v>
      </c>
      <c r="F178" s="54">
        <f t="shared" si="20"/>
        <v>0</v>
      </c>
      <c r="G178" s="78"/>
    </row>
    <row r="179" spans="1:8" ht="12.75" customHeight="1">
      <c r="A179" s="64"/>
      <c r="B179" s="54" t="s">
        <v>119</v>
      </c>
      <c r="C179" s="110" t="s">
        <v>2</v>
      </c>
      <c r="D179" s="110">
        <v>0</v>
      </c>
      <c r="E179" s="110">
        <v>0.5</v>
      </c>
      <c r="F179" s="54">
        <f t="shared" si="20"/>
        <v>0</v>
      </c>
      <c r="G179" s="78"/>
    </row>
    <row r="180" spans="1:8" ht="12.75" customHeight="1">
      <c r="A180" s="64"/>
      <c r="B180" s="54" t="s">
        <v>95</v>
      </c>
      <c r="C180" s="110" t="s">
        <v>2</v>
      </c>
      <c r="D180" s="110">
        <v>0</v>
      </c>
      <c r="E180" s="110">
        <v>5</v>
      </c>
      <c r="F180" s="54">
        <f t="shared" si="20"/>
        <v>0</v>
      </c>
      <c r="G180" s="78"/>
    </row>
    <row r="181" spans="1:8" ht="12.75" customHeight="1">
      <c r="A181" s="64"/>
      <c r="B181" s="54" t="s">
        <v>97</v>
      </c>
      <c r="C181" s="110" t="s">
        <v>2</v>
      </c>
      <c r="D181" s="110">
        <v>0</v>
      </c>
      <c r="E181" s="110">
        <v>3</v>
      </c>
      <c r="F181" s="54">
        <f t="shared" si="20"/>
        <v>0</v>
      </c>
      <c r="G181" s="78"/>
    </row>
    <row r="182" spans="1:8" ht="12" customHeight="1">
      <c r="A182" s="64"/>
      <c r="B182" s="54" t="s">
        <v>100</v>
      </c>
      <c r="C182" s="110" t="s">
        <v>2</v>
      </c>
      <c r="D182" s="110">
        <v>0</v>
      </c>
      <c r="E182" s="110">
        <v>4.5</v>
      </c>
      <c r="F182" s="54">
        <f t="shared" si="20"/>
        <v>0</v>
      </c>
      <c r="G182" s="78"/>
    </row>
    <row r="183" spans="1:8" ht="12.75" customHeight="1">
      <c r="A183" s="64"/>
      <c r="B183" s="54" t="s">
        <v>60</v>
      </c>
      <c r="C183" s="167" t="s">
        <v>2</v>
      </c>
      <c r="D183" s="110">
        <v>0</v>
      </c>
      <c r="E183" s="110">
        <v>35</v>
      </c>
      <c r="F183" s="54">
        <f t="shared" si="20"/>
        <v>0</v>
      </c>
      <c r="G183" s="78"/>
    </row>
    <row r="184" spans="1:8" ht="13.5" customHeight="1">
      <c r="A184" s="93"/>
      <c r="B184" s="486" t="s">
        <v>3</v>
      </c>
      <c r="C184" s="486"/>
      <c r="D184" s="486"/>
      <c r="E184" s="486"/>
      <c r="F184" s="98">
        <f>SUM(F154:F183)</f>
        <v>704.2</v>
      </c>
      <c r="G184" s="78"/>
    </row>
    <row r="185" spans="1:8" ht="13.5" customHeight="1">
      <c r="A185" s="93"/>
      <c r="B185" s="118"/>
      <c r="C185" s="118"/>
      <c r="D185" s="118"/>
      <c r="E185" s="118"/>
      <c r="F185" s="85"/>
      <c r="G185" s="78"/>
    </row>
    <row r="186" spans="1:8" ht="12.75" customHeight="1">
      <c r="A186" s="93"/>
      <c r="B186" s="118"/>
      <c r="C186" s="118"/>
      <c r="D186" s="118"/>
      <c r="E186" s="118"/>
      <c r="F186" s="85"/>
      <c r="G186" s="78"/>
    </row>
    <row r="187" spans="1:8" s="182" customFormat="1" ht="15.75">
      <c r="A187" s="242" t="s">
        <v>207</v>
      </c>
      <c r="B187" s="243"/>
      <c r="C187" s="239"/>
      <c r="D187" s="239"/>
      <c r="E187" s="240"/>
      <c r="F187" s="240" t="s">
        <v>0</v>
      </c>
      <c r="G187" s="241">
        <f>+G190+G196</f>
        <v>180</v>
      </c>
      <c r="H187" s="208"/>
    </row>
    <row r="188" spans="1:8" s="223" customFormat="1" ht="15.75">
      <c r="A188" s="210"/>
      <c r="B188" s="211"/>
      <c r="C188" s="212"/>
      <c r="D188" s="212"/>
      <c r="E188" s="213"/>
      <c r="F188" s="213"/>
      <c r="G188" s="214"/>
      <c r="H188" s="222"/>
    </row>
    <row r="189" spans="1:8">
      <c r="A189" s="91"/>
      <c r="B189" s="92"/>
      <c r="C189" s="85"/>
      <c r="D189" s="86"/>
      <c r="E189" s="86"/>
      <c r="F189" s="85"/>
      <c r="G189" s="78"/>
    </row>
    <row r="190" spans="1:8" ht="15.75">
      <c r="A190" s="209">
        <v>1</v>
      </c>
      <c r="B190" s="92" t="s">
        <v>33</v>
      </c>
      <c r="C190" s="85"/>
      <c r="D190" s="86"/>
      <c r="E190" s="86"/>
      <c r="F190" s="87" t="s">
        <v>0</v>
      </c>
      <c r="G190" s="88">
        <f>+F194</f>
        <v>180</v>
      </c>
    </row>
    <row r="191" spans="1:8">
      <c r="A191" s="91"/>
      <c r="B191" s="92"/>
      <c r="C191" s="85"/>
      <c r="D191" s="86"/>
      <c r="E191" s="86"/>
      <c r="F191" s="85"/>
      <c r="G191" s="78"/>
    </row>
    <row r="192" spans="1:8" ht="14.25" customHeight="1">
      <c r="A192" s="64"/>
      <c r="B192" s="95" t="s">
        <v>53</v>
      </c>
      <c r="C192" s="96" t="s">
        <v>63</v>
      </c>
      <c r="D192" s="96" t="s">
        <v>25</v>
      </c>
      <c r="E192" s="96" t="s">
        <v>5</v>
      </c>
      <c r="F192" s="96" t="s">
        <v>4</v>
      </c>
      <c r="G192" s="78"/>
    </row>
    <row r="193" spans="1:10" ht="12.75" customHeight="1">
      <c r="A193" s="64"/>
      <c r="B193" s="114" t="s">
        <v>82</v>
      </c>
      <c r="C193" s="100" t="s">
        <v>2</v>
      </c>
      <c r="D193" s="100">
        <v>2</v>
      </c>
      <c r="E193" s="100">
        <v>90</v>
      </c>
      <c r="F193" s="113">
        <f>+D193*E193</f>
        <v>180</v>
      </c>
      <c r="G193" s="78"/>
    </row>
    <row r="194" spans="1:10" ht="12.75" customHeight="1">
      <c r="A194" s="93"/>
      <c r="B194" s="486" t="s">
        <v>3</v>
      </c>
      <c r="C194" s="486"/>
      <c r="D194" s="486"/>
      <c r="E194" s="486"/>
      <c r="F194" s="98">
        <f>SUM(F193:F193)</f>
        <v>180</v>
      </c>
      <c r="G194" s="78"/>
    </row>
    <row r="195" spans="1:10" ht="12.75" customHeight="1">
      <c r="A195" s="93"/>
      <c r="B195" s="118"/>
      <c r="C195" s="118"/>
      <c r="D195" s="118"/>
      <c r="E195" s="118"/>
      <c r="F195" s="85"/>
      <c r="G195" s="78"/>
    </row>
    <row r="196" spans="1:10" s="18" customFormat="1" ht="14.85" customHeight="1">
      <c r="A196" s="209">
        <v>2</v>
      </c>
      <c r="B196" s="92" t="s">
        <v>61</v>
      </c>
      <c r="C196" s="85"/>
      <c r="D196" s="86"/>
      <c r="E196" s="86"/>
      <c r="F196" s="87" t="s">
        <v>0</v>
      </c>
      <c r="G196" s="88">
        <f>+F201</f>
        <v>0</v>
      </c>
    </row>
    <row r="197" spans="1:10" ht="12.75" customHeight="1">
      <c r="A197" s="91"/>
      <c r="B197" s="92"/>
      <c r="C197" s="85"/>
      <c r="D197" s="86"/>
      <c r="E197" s="86"/>
      <c r="F197" s="85"/>
      <c r="G197" s="78"/>
    </row>
    <row r="198" spans="1:10" ht="12.75" customHeight="1">
      <c r="A198" s="64"/>
      <c r="B198" s="95" t="s">
        <v>53</v>
      </c>
      <c r="C198" s="96" t="s">
        <v>63</v>
      </c>
      <c r="D198" s="96" t="s">
        <v>25</v>
      </c>
      <c r="E198" s="96" t="s">
        <v>5</v>
      </c>
      <c r="F198" s="96" t="s">
        <v>4</v>
      </c>
      <c r="G198" s="78"/>
    </row>
    <row r="199" spans="1:10" ht="12.75" customHeight="1">
      <c r="A199" s="64"/>
      <c r="B199" s="55" t="s">
        <v>382</v>
      </c>
      <c r="C199" s="104" t="s">
        <v>326</v>
      </c>
      <c r="D199" s="104">
        <v>0</v>
      </c>
      <c r="E199" s="104">
        <v>250</v>
      </c>
      <c r="F199" s="113">
        <f>+D199*E199</f>
        <v>0</v>
      </c>
      <c r="G199" s="78"/>
    </row>
    <row r="200" spans="1:10" ht="12.75" customHeight="1">
      <c r="A200" s="64"/>
      <c r="B200" s="55" t="s">
        <v>134</v>
      </c>
      <c r="C200" s="104" t="s">
        <v>326</v>
      </c>
      <c r="D200" s="104">
        <v>0</v>
      </c>
      <c r="E200" s="104">
        <v>250</v>
      </c>
      <c r="F200" s="113">
        <f>+D200*E200</f>
        <v>0</v>
      </c>
      <c r="G200" s="78"/>
    </row>
    <row r="201" spans="1:10" ht="12.75" customHeight="1">
      <c r="A201" s="64"/>
      <c r="B201" s="486" t="s">
        <v>3</v>
      </c>
      <c r="C201" s="486"/>
      <c r="D201" s="486"/>
      <c r="E201" s="486"/>
      <c r="F201" s="98">
        <f>SUM(F200:F200)</f>
        <v>0</v>
      </c>
      <c r="G201" s="78"/>
    </row>
    <row r="202" spans="1:10" ht="12.75" customHeight="1">
      <c r="A202" s="64"/>
      <c r="B202" s="118"/>
      <c r="C202" s="118"/>
      <c r="D202" s="118"/>
      <c r="E202" s="118"/>
      <c r="F202" s="85"/>
      <c r="G202" s="78"/>
    </row>
    <row r="203" spans="1:10" ht="12.75" customHeight="1">
      <c r="A203" s="93"/>
      <c r="B203" s="118"/>
      <c r="C203" s="118"/>
      <c r="D203" s="118"/>
      <c r="E203" s="118"/>
      <c r="F203" s="85"/>
      <c r="G203" s="78"/>
      <c r="J203" s="189"/>
    </row>
    <row r="204" spans="1:10" ht="12.75" customHeight="1">
      <c r="A204" s="491" t="s">
        <v>41</v>
      </c>
      <c r="B204" s="491"/>
      <c r="C204" s="491"/>
      <c r="D204" s="491"/>
      <c r="E204" s="491"/>
      <c r="F204" s="87" t="s">
        <v>0</v>
      </c>
      <c r="G204" s="88">
        <f>+G19</f>
        <v>63017.783333333326</v>
      </c>
    </row>
    <row r="205" spans="1:10" ht="12.75" customHeight="1"/>
    <row r="206" spans="1:10" ht="12.75" customHeight="1">
      <c r="G206" s="80"/>
    </row>
    <row r="207" spans="1:10" ht="12.75" customHeight="1">
      <c r="G207" s="88"/>
    </row>
    <row r="208" spans="1:10" ht="12.75" customHeight="1">
      <c r="G208" s="88"/>
    </row>
    <row r="209" spans="7:7" ht="26.25" customHeight="1">
      <c r="G209" s="88"/>
    </row>
    <row r="210" spans="7:7" ht="12.75" customHeight="1">
      <c r="G210" s="88"/>
    </row>
    <row r="211" spans="7:7" ht="12.75" customHeight="1"/>
    <row r="212" spans="7:7" ht="12.75" customHeight="1"/>
    <row r="213" spans="7:7" ht="12.75" customHeight="1"/>
    <row r="214" spans="7:7" ht="12.75" customHeight="1"/>
    <row r="215" spans="7:7" ht="12.75" customHeight="1"/>
    <row r="216" spans="7:7" ht="12.75" customHeight="1"/>
    <row r="217" spans="7:7" ht="12.75" customHeight="1"/>
    <row r="218" spans="7:7" ht="12.75" customHeight="1"/>
    <row r="219" spans="7:7" ht="12.75" customHeight="1"/>
    <row r="220" spans="7:7" ht="12.75" customHeight="1"/>
    <row r="221" spans="7:7" ht="12.75" customHeight="1"/>
    <row r="222" spans="7:7" ht="12.75" customHeight="1"/>
    <row r="223" spans="7:7" ht="12.75" customHeight="1"/>
    <row r="224" spans="7:7" ht="12.75" customHeight="1"/>
    <row r="225" spans="1:7" ht="12.75" customHeight="1"/>
    <row r="226" spans="1:7" ht="12.75" customHeight="1"/>
    <row r="227" spans="1:7" ht="18" customHeight="1"/>
    <row r="228" spans="1:7" ht="12.75" customHeight="1"/>
    <row r="229" spans="1:7" ht="12.75" customHeight="1"/>
    <row r="230" spans="1:7" ht="12.75" customHeight="1"/>
    <row r="231" spans="1:7" ht="12.75" customHeight="1"/>
    <row r="232" spans="1:7" ht="12.75" customHeight="1"/>
    <row r="233" spans="1:7" s="122" customFormat="1" ht="18" customHeight="1">
      <c r="A233" s="67"/>
      <c r="B233" s="70"/>
      <c r="C233" s="70"/>
      <c r="D233" s="73"/>
      <c r="E233" s="73"/>
      <c r="F233" s="70"/>
      <c r="G233" s="70"/>
    </row>
  </sheetData>
  <mergeCells count="17">
    <mergeCell ref="A204:E204"/>
    <mergeCell ref="B194:E194"/>
    <mergeCell ref="B184:E184"/>
    <mergeCell ref="B66:E66"/>
    <mergeCell ref="B82:E82"/>
    <mergeCell ref="B101:E101"/>
    <mergeCell ref="B135:E135"/>
    <mergeCell ref="B117:E117"/>
    <mergeCell ref="B146:E146"/>
    <mergeCell ref="A26:G26"/>
    <mergeCell ref="A24:G24"/>
    <mergeCell ref="A3:G3"/>
    <mergeCell ref="C10:G11"/>
    <mergeCell ref="B201:E201"/>
    <mergeCell ref="C14:F14"/>
    <mergeCell ref="B19:F19"/>
    <mergeCell ref="B46:E46"/>
  </mergeCells>
  <phoneticPr fontId="0" type="noConversion"/>
  <conditionalFormatting sqref="C12:G12">
    <cfRule type="aboveAverage" dxfId="1" priority="4" stopIfTrue="1" aboveAverage="0"/>
  </conditionalFormatting>
  <conditionalFormatting sqref="C10">
    <cfRule type="aboveAverage" dxfId="0" priority="2" stopIfTrue="1" aboveAverage="0"/>
  </conditionalFormatting>
  <printOptions horizontalCentered="1"/>
  <pageMargins left="0.98425196850393704" right="0.98425196850393704" top="1.2598425196850394" bottom="0.98425196850393704" header="0" footer="0"/>
  <pageSetup paperSize="9" scale="62" fitToHeight="0" orientation="portrait" horizontalDpi="300" verticalDpi="300" r:id="rId1"/>
  <headerFooter alignWithMargins="0"/>
  <rowBreaks count="2" manualBreakCount="2">
    <brk id="67" max="6" man="1"/>
    <brk id="149" max="6" man="1"/>
  </rowBreak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A1:K180"/>
  <sheetViews>
    <sheetView showGridLines="0" view="pageBreakPreview" zoomScaleSheetLayoutView="100" workbookViewId="0">
      <selection activeCell="E150" sqref="E150"/>
    </sheetView>
  </sheetViews>
  <sheetFormatPr baseColWidth="10" defaultColWidth="11.42578125" defaultRowHeight="12.75"/>
  <cols>
    <col min="1" max="1" width="10.5703125" style="182" customWidth="1"/>
    <col min="2" max="2" width="41.42578125" style="182" customWidth="1"/>
    <col min="3" max="3" width="17.7109375" style="182" customWidth="1"/>
    <col min="4" max="4" width="16.5703125" style="182" customWidth="1"/>
    <col min="5" max="5" width="17.5703125" style="182" customWidth="1"/>
    <col min="6" max="6" width="14.7109375" style="182" customWidth="1"/>
    <col min="7" max="7" width="18.5703125" style="182" customWidth="1"/>
    <col min="8" max="8" width="5.5703125" style="182" customWidth="1"/>
    <col min="9" max="16384" width="11.42578125" style="182"/>
  </cols>
  <sheetData>
    <row r="1" spans="1:7" ht="20.25">
      <c r="A1" s="501" t="s">
        <v>280</v>
      </c>
      <c r="B1" s="501"/>
      <c r="C1" s="501"/>
      <c r="D1" s="501"/>
      <c r="E1" s="501"/>
      <c r="F1" s="501"/>
      <c r="G1" s="501"/>
    </row>
    <row r="2" spans="1:7">
      <c r="A2" s="65"/>
      <c r="B2" s="65"/>
      <c r="C2" s="65"/>
      <c r="D2" s="65"/>
      <c r="E2" s="66"/>
      <c r="F2" s="65"/>
      <c r="G2" s="65"/>
    </row>
    <row r="3" spans="1:7" ht="15">
      <c r="A3" s="70"/>
      <c r="B3" s="68"/>
      <c r="C3" s="69"/>
      <c r="D3" s="65"/>
      <c r="E3" s="66"/>
      <c r="F3" s="65"/>
      <c r="G3" s="70"/>
    </row>
    <row r="4" spans="1:7">
      <c r="A4" s="70"/>
      <c r="B4" s="296" t="s">
        <v>35</v>
      </c>
      <c r="C4" s="30" t="str">
        <f>'R'!C9</f>
        <v>:</v>
      </c>
      <c r="D4" s="27"/>
      <c r="E4" s="27"/>
      <c r="F4" s="27"/>
      <c r="G4" s="27"/>
    </row>
    <row r="5" spans="1:7">
      <c r="A5" s="70"/>
      <c r="B5" s="296" t="s">
        <v>64</v>
      </c>
      <c r="C5" s="31" t="e">
        <f>'R'!#REF!</f>
        <v>#REF!</v>
      </c>
      <c r="D5" s="25"/>
      <c r="E5" s="25"/>
      <c r="F5" s="25"/>
      <c r="G5" s="30" t="s">
        <v>1</v>
      </c>
    </row>
    <row r="6" spans="1:7">
      <c r="A6" s="70"/>
      <c r="B6" s="296" t="s">
        <v>65</v>
      </c>
      <c r="C6" s="30" t="str">
        <f>'R'!C10</f>
        <v>:22 EDUCACIÓN</v>
      </c>
      <c r="D6" s="25"/>
      <c r="E6" s="25"/>
      <c r="F6" s="25"/>
      <c r="G6" s="30" t="s">
        <v>1</v>
      </c>
    </row>
    <row r="7" spans="1:7">
      <c r="A7" s="70"/>
      <c r="B7" s="296" t="s">
        <v>66</v>
      </c>
      <c r="C7" s="30" t="str">
        <f>'R'!C11</f>
        <v>:047 EDUCACIÓN BÁSICA</v>
      </c>
      <c r="D7" s="25"/>
      <c r="E7" s="25"/>
      <c r="F7" s="25"/>
      <c r="G7" s="30"/>
    </row>
    <row r="8" spans="1:7">
      <c r="A8" s="70"/>
      <c r="B8" s="296" t="s">
        <v>67</v>
      </c>
      <c r="C8" s="30" t="str">
        <f>'R'!C12</f>
        <v>:EDUCACIÓN PRIMARIA SECUNDARIA</v>
      </c>
      <c r="D8" s="25"/>
      <c r="E8" s="25"/>
      <c r="F8" s="25"/>
      <c r="G8" s="25"/>
    </row>
    <row r="9" spans="1:7" ht="15">
      <c r="A9" s="70"/>
      <c r="B9" s="29" t="s">
        <v>111</v>
      </c>
      <c r="C9" s="502" t="str">
        <f>'R'!C13</f>
        <v>“OPTIMIZACIÓN  DE COBERTURA METALICA Y TRIBUNA DE LA IE No. 550006 BELEN DE OSMA Y PARDO, PROVINCIA DE ANDAHUAYLAS-REGION APURIMAC"</v>
      </c>
      <c r="D9" s="502"/>
      <c r="E9" s="502"/>
      <c r="F9" s="502"/>
      <c r="G9" s="502"/>
    </row>
    <row r="10" spans="1:7" ht="15">
      <c r="A10" s="70"/>
      <c r="B10" s="29"/>
      <c r="C10" s="502"/>
      <c r="D10" s="502"/>
      <c r="E10" s="502"/>
      <c r="F10" s="502"/>
      <c r="G10" s="502"/>
    </row>
    <row r="11" spans="1:7" ht="15">
      <c r="A11" s="70"/>
      <c r="B11" s="29"/>
      <c r="C11" s="30"/>
      <c r="D11" s="65"/>
      <c r="E11" s="73"/>
      <c r="F11" s="70"/>
      <c r="G11" s="70"/>
    </row>
    <row r="12" spans="1:7" ht="15.75" thickBot="1">
      <c r="A12" s="70"/>
      <c r="B12" s="29"/>
      <c r="C12" s="30"/>
      <c r="D12" s="65"/>
      <c r="E12" s="73"/>
      <c r="F12" s="70"/>
      <c r="G12" s="70"/>
    </row>
    <row r="13" spans="1:7" ht="13.5" thickBot="1">
      <c r="A13" s="183"/>
      <c r="B13" s="224" t="s">
        <v>36</v>
      </c>
      <c r="C13" s="487" t="s">
        <v>37</v>
      </c>
      <c r="D13" s="487"/>
      <c r="E13" s="487"/>
      <c r="F13" s="487"/>
      <c r="G13" s="225" t="s">
        <v>305</v>
      </c>
    </row>
    <row r="14" spans="1:7">
      <c r="A14" s="183"/>
      <c r="B14" s="204" t="str">
        <f>'R'!A16</f>
        <v>2.6.2.2.2.4</v>
      </c>
      <c r="C14" s="205" t="s">
        <v>144</v>
      </c>
      <c r="D14" s="205"/>
      <c r="E14" s="205"/>
      <c r="F14" s="206"/>
      <c r="G14" s="207">
        <f>+G45</f>
        <v>0</v>
      </c>
    </row>
    <row r="15" spans="1:7">
      <c r="A15" s="183"/>
      <c r="B15" s="204" t="str">
        <f>'R'!A17</f>
        <v>2.6.2.2.2.5</v>
      </c>
      <c r="C15" s="199" t="s">
        <v>145</v>
      </c>
      <c r="D15" s="199"/>
      <c r="E15" s="199"/>
      <c r="F15" s="200"/>
      <c r="G15" s="201">
        <f>+G111</f>
        <v>0</v>
      </c>
    </row>
    <row r="16" spans="1:7">
      <c r="A16" s="183"/>
      <c r="B16" s="204" t="str">
        <f>'R'!A18</f>
        <v>2.6.2.2.2.6</v>
      </c>
      <c r="C16" s="202" t="s">
        <v>146</v>
      </c>
      <c r="D16" s="202"/>
      <c r="E16" s="202"/>
      <c r="F16" s="200"/>
      <c r="G16" s="201">
        <f>+G165</f>
        <v>0</v>
      </c>
    </row>
    <row r="17" spans="1:11">
      <c r="A17" s="183"/>
      <c r="B17" s="204" t="str">
        <f>'R'!A19</f>
        <v>2.6.2.2.2.7</v>
      </c>
      <c r="C17" s="199" t="s">
        <v>147</v>
      </c>
      <c r="D17" s="199"/>
      <c r="E17" s="199"/>
      <c r="F17" s="200"/>
      <c r="G17" s="201">
        <f>+G21</f>
        <v>0</v>
      </c>
    </row>
    <row r="18" spans="1:11">
      <c r="A18" s="183"/>
      <c r="B18" s="204" t="str">
        <f>+'R'!A20</f>
        <v>2.6.8.1.3.1</v>
      </c>
      <c r="C18" s="199" t="str">
        <f>+'R'!B20</f>
        <v>ELABORACION DE EXPEDIENTE TECNICO</v>
      </c>
      <c r="D18" s="316"/>
      <c r="E18" s="318"/>
      <c r="F18" s="317"/>
      <c r="G18" s="201">
        <f>+G29</f>
        <v>0</v>
      </c>
    </row>
    <row r="19" spans="1:11" ht="13.5" thickBot="1">
      <c r="A19" s="183"/>
      <c r="B19" s="488" t="s">
        <v>282</v>
      </c>
      <c r="C19" s="489"/>
      <c r="D19" s="489"/>
      <c r="E19" s="489"/>
      <c r="F19" s="489"/>
      <c r="G19" s="203">
        <f>SUM(G14:G18)</f>
        <v>0</v>
      </c>
      <c r="J19" s="17"/>
      <c r="K19" s="184"/>
    </row>
    <row r="20" spans="1:11" ht="15.75">
      <c r="A20" s="70"/>
      <c r="B20" s="75"/>
      <c r="C20" s="75"/>
      <c r="D20" s="75"/>
      <c r="E20" s="75"/>
      <c r="F20" s="88"/>
      <c r="G20" s="65"/>
    </row>
    <row r="21" spans="1:11" ht="15.75">
      <c r="A21" s="70"/>
      <c r="B21" s="75"/>
      <c r="C21" s="75"/>
      <c r="D21" s="75"/>
      <c r="E21" s="75"/>
      <c r="F21" s="88"/>
      <c r="G21" s="65"/>
    </row>
    <row r="22" spans="1:11">
      <c r="A22" s="77"/>
      <c r="B22" s="77"/>
      <c r="C22" s="67"/>
      <c r="D22" s="78"/>
      <c r="E22" s="79"/>
      <c r="F22" s="67"/>
      <c r="G22" s="70"/>
    </row>
    <row r="23" spans="1:11" ht="20.25">
      <c r="A23" s="482" t="s">
        <v>42</v>
      </c>
      <c r="B23" s="483"/>
      <c r="C23" s="483"/>
      <c r="D23" s="483"/>
      <c r="E23" s="483"/>
      <c r="F23" s="483"/>
      <c r="G23" s="483"/>
    </row>
    <row r="24" spans="1:11" ht="20.25">
      <c r="A24" s="230"/>
      <c r="B24" s="231"/>
      <c r="C24" s="232"/>
      <c r="D24" s="231"/>
      <c r="E24" s="233"/>
      <c r="F24" s="231"/>
      <c r="G24" s="231"/>
    </row>
    <row r="25" spans="1:11" ht="20.25">
      <c r="A25" s="267">
        <v>1</v>
      </c>
      <c r="B25" s="266" t="s">
        <v>281</v>
      </c>
      <c r="C25" s="266"/>
      <c r="D25" s="264"/>
      <c r="E25" s="264"/>
      <c r="F25" s="264"/>
      <c r="G25" s="264"/>
    </row>
    <row r="26" spans="1:11">
      <c r="A26" s="123"/>
      <c r="B26" s="123"/>
      <c r="C26" s="124"/>
      <c r="D26" s="125"/>
      <c r="E26" s="126"/>
      <c r="F26" s="123"/>
      <c r="G26" s="123"/>
    </row>
    <row r="27" spans="1:11">
      <c r="A27" s="64"/>
      <c r="B27" s="85"/>
      <c r="C27" s="85"/>
      <c r="D27" s="85"/>
      <c r="E27" s="86"/>
      <c r="F27" s="85"/>
      <c r="G27" s="85"/>
    </row>
    <row r="28" spans="1:11">
      <c r="A28" s="64"/>
      <c r="B28" s="118"/>
      <c r="C28" s="118"/>
      <c r="D28" s="118"/>
      <c r="E28" s="118"/>
      <c r="F28" s="85"/>
      <c r="G28" s="78"/>
    </row>
    <row r="29" spans="1:11" ht="15.75">
      <c r="A29" s="242" t="s">
        <v>302</v>
      </c>
      <c r="B29" s="243"/>
      <c r="C29" s="239"/>
      <c r="D29" s="239"/>
      <c r="E29" s="240"/>
      <c r="F29" s="240" t="s">
        <v>0</v>
      </c>
      <c r="G29" s="241">
        <f>+G32</f>
        <v>0</v>
      </c>
    </row>
    <row r="30" spans="1:11" ht="15.75">
      <c r="A30" s="127"/>
      <c r="B30" s="154"/>
      <c r="C30" s="146"/>
      <c r="D30" s="146"/>
      <c r="E30" s="145"/>
      <c r="F30" s="129"/>
      <c r="G30" s="130"/>
    </row>
    <row r="31" spans="1:11">
      <c r="A31" s="133"/>
      <c r="B31" s="81"/>
      <c r="C31" s="81"/>
      <c r="D31" s="81"/>
      <c r="E31" s="81"/>
      <c r="F31" s="153"/>
      <c r="G31" s="70"/>
    </row>
    <row r="32" spans="1:11" ht="15.75">
      <c r="A32" s="127"/>
      <c r="B32" s="92" t="s">
        <v>131</v>
      </c>
      <c r="C32" s="146"/>
      <c r="D32" s="146"/>
      <c r="E32" s="145"/>
      <c r="F32" s="129" t="s">
        <v>0</v>
      </c>
      <c r="G32" s="130">
        <f>F38</f>
        <v>0</v>
      </c>
    </row>
    <row r="33" spans="1:9" ht="15.75">
      <c r="A33" s="127"/>
      <c r="B33" s="154"/>
      <c r="C33" s="146"/>
      <c r="D33" s="146"/>
      <c r="E33" s="145"/>
      <c r="F33" s="129"/>
      <c r="G33" s="130"/>
    </row>
    <row r="34" spans="1:9" ht="15.75">
      <c r="A34" s="102" t="s">
        <v>12</v>
      </c>
      <c r="B34" s="92" t="s">
        <v>33</v>
      </c>
      <c r="C34" s="85"/>
      <c r="D34" s="85"/>
      <c r="E34" s="86"/>
      <c r="F34" s="85"/>
      <c r="G34" s="130"/>
    </row>
    <row r="35" spans="1:9" ht="15.75">
      <c r="A35" s="127"/>
      <c r="B35" s="92"/>
      <c r="C35" s="85"/>
      <c r="D35" s="85"/>
      <c r="E35" s="86"/>
      <c r="F35" s="85"/>
      <c r="G35" s="130"/>
    </row>
    <row r="36" spans="1:9" ht="15.75">
      <c r="A36" s="127"/>
      <c r="B36" s="95" t="s">
        <v>53</v>
      </c>
      <c r="C36" s="96" t="s">
        <v>63</v>
      </c>
      <c r="D36" s="96" t="s">
        <v>25</v>
      </c>
      <c r="E36" s="96" t="s">
        <v>5</v>
      </c>
      <c r="F36" s="96" t="s">
        <v>4</v>
      </c>
      <c r="G36" s="130"/>
    </row>
    <row r="37" spans="1:9" ht="15.75">
      <c r="A37" s="127"/>
      <c r="B37" s="52" t="s">
        <v>299</v>
      </c>
      <c r="C37" s="53" t="s">
        <v>9</v>
      </c>
      <c r="D37" s="53">
        <v>0</v>
      </c>
      <c r="E37" s="53">
        <v>12000</v>
      </c>
      <c r="F37" s="107">
        <f>+D37*E37</f>
        <v>0</v>
      </c>
      <c r="G37" s="130"/>
    </row>
    <row r="38" spans="1:9" ht="15.75">
      <c r="A38" s="127"/>
      <c r="B38" s="495" t="s">
        <v>3</v>
      </c>
      <c r="C38" s="496"/>
      <c r="D38" s="496"/>
      <c r="E38" s="497"/>
      <c r="F38" s="259">
        <f>SUM(F37:F37)</f>
        <v>0</v>
      </c>
      <c r="G38" s="130"/>
    </row>
    <row r="39" spans="1:9">
      <c r="A39" s="133"/>
      <c r="B39" s="81"/>
      <c r="C39" s="81"/>
      <c r="D39" s="81"/>
      <c r="E39" s="81"/>
      <c r="F39" s="153"/>
      <c r="G39" s="70"/>
    </row>
    <row r="40" spans="1:9">
      <c r="A40" s="93"/>
      <c r="B40" s="118"/>
      <c r="C40" s="118"/>
      <c r="D40" s="118"/>
      <c r="E40" s="118"/>
      <c r="F40" s="70"/>
      <c r="G40" s="78"/>
    </row>
    <row r="41" spans="1:9" ht="15.75">
      <c r="A41" s="499" t="s">
        <v>281</v>
      </c>
      <c r="B41" s="499"/>
      <c r="C41" s="499"/>
      <c r="D41" s="499"/>
      <c r="E41" s="499"/>
      <c r="F41" s="87" t="s">
        <v>0</v>
      </c>
      <c r="G41" s="164">
        <f>++G29</f>
        <v>0</v>
      </c>
    </row>
    <row r="43" spans="1:9" ht="20.25">
      <c r="A43" s="267">
        <v>2</v>
      </c>
      <c r="B43" s="266" t="s">
        <v>283</v>
      </c>
      <c r="C43" s="266"/>
      <c r="D43" s="264"/>
      <c r="E43" s="264"/>
      <c r="F43" s="264"/>
      <c r="G43" s="264"/>
      <c r="I43" s="184"/>
    </row>
    <row r="44" spans="1:9">
      <c r="A44" s="123"/>
      <c r="B44" s="123"/>
      <c r="C44" s="124"/>
      <c r="D44" s="125"/>
      <c r="E44" s="126"/>
      <c r="F44" s="123"/>
      <c r="G44" s="123"/>
      <c r="I44" s="184"/>
    </row>
    <row r="45" spans="1:9" ht="15.75">
      <c r="A45" s="237" t="s">
        <v>205</v>
      </c>
      <c r="B45" s="238"/>
      <c r="C45" s="239"/>
      <c r="D45" s="239"/>
      <c r="E45" s="240"/>
      <c r="F45" s="240" t="s">
        <v>0</v>
      </c>
      <c r="G45" s="241">
        <f>+G47+G59+G80+G100</f>
        <v>0</v>
      </c>
    </row>
    <row r="46" spans="1:9" ht="15.75">
      <c r="A46" s="226"/>
      <c r="B46" s="223"/>
      <c r="C46" s="212"/>
      <c r="D46" s="212"/>
      <c r="E46" s="213"/>
      <c r="F46" s="213"/>
      <c r="G46" s="214"/>
    </row>
    <row r="47" spans="1:9" ht="15.75">
      <c r="A47" s="215"/>
      <c r="B47" s="216" t="s">
        <v>11</v>
      </c>
      <c r="C47" s="217"/>
      <c r="D47" s="217"/>
      <c r="E47" s="219"/>
      <c r="F47" s="220" t="s">
        <v>0</v>
      </c>
      <c r="G47" s="221">
        <f>+F56</f>
        <v>0</v>
      </c>
    </row>
    <row r="48" spans="1:9">
      <c r="A48" s="89"/>
      <c r="B48" s="90"/>
      <c r="C48" s="85"/>
      <c r="D48" s="85"/>
      <c r="E48" s="86"/>
      <c r="F48" s="85"/>
      <c r="G48" s="85"/>
    </row>
    <row r="49" spans="1:7">
      <c r="A49" s="91" t="s">
        <v>12</v>
      </c>
      <c r="B49" s="92" t="s">
        <v>13</v>
      </c>
      <c r="C49" s="85"/>
      <c r="D49" s="85"/>
      <c r="E49" s="86"/>
      <c r="F49" s="85"/>
      <c r="G49" s="85"/>
    </row>
    <row r="50" spans="1:7">
      <c r="A50" s="93"/>
      <c r="B50" s="78"/>
      <c r="C50" s="85"/>
      <c r="D50" s="85"/>
      <c r="E50" s="86"/>
      <c r="F50" s="85"/>
      <c r="G50" s="85"/>
    </row>
    <row r="51" spans="1:7">
      <c r="A51" s="64"/>
      <c r="B51" s="92" t="s">
        <v>44</v>
      </c>
      <c r="C51" s="78"/>
      <c r="D51" s="78"/>
      <c r="E51" s="94"/>
      <c r="F51" s="78"/>
      <c r="G51" s="85"/>
    </row>
    <row r="52" spans="1:7">
      <c r="A52" s="64"/>
      <c r="B52" s="92"/>
      <c r="C52" s="78"/>
      <c r="D52" s="78"/>
      <c r="E52" s="94"/>
      <c r="F52" s="78"/>
      <c r="G52" s="85"/>
    </row>
    <row r="53" spans="1:7">
      <c r="A53" s="93"/>
      <c r="B53" s="95" t="s">
        <v>45</v>
      </c>
      <c r="C53" s="96" t="s">
        <v>46</v>
      </c>
      <c r="D53" s="96" t="s">
        <v>47</v>
      </c>
      <c r="E53" s="96" t="s">
        <v>14</v>
      </c>
      <c r="F53" s="96" t="s">
        <v>4</v>
      </c>
      <c r="G53" s="85"/>
    </row>
    <row r="54" spans="1:7">
      <c r="A54" s="93"/>
      <c r="B54" s="117" t="s">
        <v>266</v>
      </c>
      <c r="C54" s="99">
        <v>0</v>
      </c>
      <c r="D54" s="99">
        <v>1</v>
      </c>
      <c r="E54" s="99">
        <f>133.33*30</f>
        <v>3999.9000000000005</v>
      </c>
      <c r="F54" s="97">
        <f>+C54*D54*E54</f>
        <v>0</v>
      </c>
      <c r="G54" s="85"/>
    </row>
    <row r="55" spans="1:7">
      <c r="A55" s="64"/>
      <c r="B55" s="97" t="s">
        <v>265</v>
      </c>
      <c r="C55" s="100">
        <v>0</v>
      </c>
      <c r="D55" s="100"/>
      <c r="E55" s="100">
        <f>40*30</f>
        <v>1200</v>
      </c>
      <c r="F55" s="97">
        <f>+C55*D55*E55</f>
        <v>0</v>
      </c>
      <c r="G55" s="85"/>
    </row>
    <row r="56" spans="1:7">
      <c r="A56" s="67"/>
      <c r="B56" s="490" t="s">
        <v>3</v>
      </c>
      <c r="C56" s="490"/>
      <c r="D56" s="490"/>
      <c r="E56" s="490"/>
      <c r="F56" s="259">
        <f>SUM(F54:F55)</f>
        <v>0</v>
      </c>
      <c r="G56" s="78"/>
    </row>
    <row r="57" spans="1:7">
      <c r="A57" s="64"/>
      <c r="B57" s="85"/>
      <c r="C57" s="85"/>
      <c r="D57" s="85"/>
      <c r="E57" s="86"/>
      <c r="F57" s="85"/>
      <c r="G57" s="85"/>
    </row>
    <row r="58" spans="1:7">
      <c r="A58" s="64"/>
      <c r="B58" s="85"/>
      <c r="C58" s="85"/>
      <c r="D58" s="85"/>
      <c r="E58" s="86"/>
      <c r="F58" s="85"/>
      <c r="G58" s="85"/>
    </row>
    <row r="59" spans="1:7" ht="15.75">
      <c r="A59" s="215"/>
      <c r="B59" s="216" t="s">
        <v>20</v>
      </c>
      <c r="C59" s="217"/>
      <c r="D59" s="217"/>
      <c r="E59" s="219"/>
      <c r="F59" s="220" t="s">
        <v>0</v>
      </c>
      <c r="G59" s="221">
        <f>+F68+F78</f>
        <v>0</v>
      </c>
    </row>
    <row r="60" spans="1:7">
      <c r="A60" s="89"/>
      <c r="B60" s="90"/>
      <c r="C60" s="85"/>
      <c r="D60" s="85"/>
      <c r="E60" s="86"/>
      <c r="F60" s="85"/>
      <c r="G60" s="85"/>
    </row>
    <row r="61" spans="1:7">
      <c r="A61" s="91" t="s">
        <v>12</v>
      </c>
      <c r="B61" s="92" t="s">
        <v>139</v>
      </c>
      <c r="C61" s="85"/>
      <c r="D61" s="85"/>
      <c r="E61" s="86"/>
      <c r="F61" s="85"/>
      <c r="G61" s="85"/>
    </row>
    <row r="62" spans="1:7">
      <c r="A62" s="91"/>
      <c r="B62" s="92"/>
      <c r="C62" s="85"/>
      <c r="D62" s="85"/>
      <c r="E62" s="86"/>
      <c r="F62" s="85"/>
      <c r="G62" s="85"/>
    </row>
    <row r="63" spans="1:7">
      <c r="A63" s="93"/>
      <c r="B63" s="92" t="s">
        <v>44</v>
      </c>
      <c r="C63" s="78"/>
      <c r="D63" s="78"/>
      <c r="E63" s="94"/>
      <c r="F63" s="85"/>
      <c r="G63" s="85"/>
    </row>
    <row r="64" spans="1:7">
      <c r="A64" s="93"/>
      <c r="B64" s="92"/>
      <c r="C64" s="78"/>
      <c r="D64" s="78"/>
      <c r="E64" s="94"/>
      <c r="F64" s="85"/>
      <c r="G64" s="85"/>
    </row>
    <row r="65" spans="1:7">
      <c r="A65" s="64"/>
      <c r="B65" s="95" t="s">
        <v>45</v>
      </c>
      <c r="C65" s="96" t="s">
        <v>46</v>
      </c>
      <c r="D65" s="96" t="s">
        <v>47</v>
      </c>
      <c r="E65" s="96" t="s">
        <v>14</v>
      </c>
      <c r="F65" s="96" t="s">
        <v>4</v>
      </c>
      <c r="G65" s="85"/>
    </row>
    <row r="66" spans="1:7">
      <c r="A66" s="64"/>
      <c r="B66" s="117" t="str">
        <f t="shared" ref="B66:D67" si="0">+B54</f>
        <v>INSPECTOR DE OBRA 2</v>
      </c>
      <c r="C66" s="99">
        <f t="shared" si="0"/>
        <v>0</v>
      </c>
      <c r="D66" s="99">
        <f t="shared" si="0"/>
        <v>1</v>
      </c>
      <c r="E66" s="99">
        <f>+E54*0.09</f>
        <v>359.99100000000004</v>
      </c>
      <c r="F66" s="117">
        <f>+C66*D66*E66</f>
        <v>0</v>
      </c>
      <c r="G66" s="85"/>
    </row>
    <row r="67" spans="1:7">
      <c r="A67" s="64"/>
      <c r="B67" s="117" t="str">
        <f t="shared" si="0"/>
        <v>ASISTENTE ADMINISTRATIVO 2</v>
      </c>
      <c r="C67" s="99">
        <f t="shared" si="0"/>
        <v>0</v>
      </c>
      <c r="D67" s="99">
        <f t="shared" si="0"/>
        <v>0</v>
      </c>
      <c r="E67" s="99">
        <f>+E55*0.09</f>
        <v>108</v>
      </c>
      <c r="F67" s="117">
        <f>+C67*D67*E67</f>
        <v>0</v>
      </c>
      <c r="G67" s="85"/>
    </row>
    <row r="68" spans="1:7">
      <c r="A68" s="64"/>
      <c r="B68" s="500" t="s">
        <v>3</v>
      </c>
      <c r="C68" s="500"/>
      <c r="D68" s="500"/>
      <c r="E68" s="500"/>
      <c r="F68" s="259">
        <f>SUM(F66:F67)</f>
        <v>0</v>
      </c>
      <c r="G68" s="85"/>
    </row>
    <row r="69" spans="1:7">
      <c r="A69" s="64"/>
      <c r="B69" s="101"/>
      <c r="C69" s="101"/>
      <c r="D69" s="101"/>
      <c r="E69" s="86"/>
      <c r="F69" s="85"/>
      <c r="G69" s="85"/>
    </row>
    <row r="70" spans="1:7">
      <c r="A70" s="64"/>
      <c r="B70" s="101"/>
      <c r="C70" s="85"/>
      <c r="D70" s="101"/>
      <c r="E70" s="86"/>
      <c r="F70" s="85"/>
      <c r="G70" s="85"/>
    </row>
    <row r="71" spans="1:7">
      <c r="A71" s="102" t="s">
        <v>15</v>
      </c>
      <c r="B71" s="92" t="s">
        <v>85</v>
      </c>
      <c r="C71" s="85"/>
      <c r="D71" s="85"/>
      <c r="E71" s="86"/>
      <c r="F71" s="85"/>
      <c r="G71" s="85"/>
    </row>
    <row r="72" spans="1:7">
      <c r="A72" s="91"/>
      <c r="B72" s="92"/>
      <c r="C72" s="85"/>
      <c r="D72" s="85"/>
      <c r="E72" s="86"/>
      <c r="F72" s="85"/>
      <c r="G72" s="85"/>
    </row>
    <row r="73" spans="1:7">
      <c r="A73" s="64"/>
      <c r="B73" s="92" t="s">
        <v>44</v>
      </c>
      <c r="C73" s="78"/>
      <c r="D73" s="78"/>
      <c r="E73" s="94"/>
      <c r="F73" s="85"/>
      <c r="G73" s="85"/>
    </row>
    <row r="74" spans="1:7">
      <c r="A74" s="64"/>
      <c r="B74" s="92"/>
      <c r="C74" s="78"/>
      <c r="D74" s="78"/>
      <c r="E74" s="94"/>
      <c r="F74" s="85"/>
      <c r="G74" s="85"/>
    </row>
    <row r="75" spans="1:7">
      <c r="A75" s="64"/>
      <c r="B75" s="95" t="s">
        <v>45</v>
      </c>
      <c r="C75" s="96" t="s">
        <v>46</v>
      </c>
      <c r="D75" s="96" t="s">
        <v>47</v>
      </c>
      <c r="E75" s="96" t="s">
        <v>14</v>
      </c>
      <c r="F75" s="96" t="s">
        <v>4</v>
      </c>
      <c r="G75" s="85"/>
    </row>
    <row r="76" spans="1:7">
      <c r="A76" s="64"/>
      <c r="B76" s="117" t="str">
        <f t="shared" ref="B76:D77" si="1">+B54</f>
        <v>INSPECTOR DE OBRA 2</v>
      </c>
      <c r="C76" s="99">
        <f t="shared" si="1"/>
        <v>0</v>
      </c>
      <c r="D76" s="99">
        <f t="shared" si="1"/>
        <v>1</v>
      </c>
      <c r="E76" s="99">
        <f>+E54*0.0155</f>
        <v>61.998450000000005</v>
      </c>
      <c r="F76" s="117">
        <f>+C76*D76*E76</f>
        <v>0</v>
      </c>
      <c r="G76" s="85"/>
    </row>
    <row r="77" spans="1:7">
      <c r="A77" s="64"/>
      <c r="B77" s="117" t="str">
        <f t="shared" si="1"/>
        <v>ASISTENTE ADMINISTRATIVO 2</v>
      </c>
      <c r="C77" s="99">
        <f t="shared" si="1"/>
        <v>0</v>
      </c>
      <c r="D77" s="99">
        <f t="shared" si="1"/>
        <v>0</v>
      </c>
      <c r="E77" s="99">
        <f>+E55*0.0155</f>
        <v>18.600000000000001</v>
      </c>
      <c r="F77" s="117">
        <f>+C77*D77*E77</f>
        <v>0</v>
      </c>
      <c r="G77" s="85"/>
    </row>
    <row r="78" spans="1:7">
      <c r="A78" s="64"/>
      <c r="B78" s="486" t="s">
        <v>3</v>
      </c>
      <c r="C78" s="486"/>
      <c r="D78" s="486"/>
      <c r="E78" s="486"/>
      <c r="F78" s="259">
        <f>SUM(F76:F77)</f>
        <v>0</v>
      </c>
      <c r="G78" s="85"/>
    </row>
    <row r="79" spans="1:7">
      <c r="A79" s="64"/>
      <c r="B79" s="101"/>
      <c r="C79" s="85"/>
      <c r="D79" s="101"/>
      <c r="E79" s="86"/>
      <c r="F79" s="85"/>
      <c r="G79" s="85"/>
    </row>
    <row r="80" spans="1:7" ht="15.75">
      <c r="A80" s="215"/>
      <c r="B80" s="216" t="s">
        <v>22</v>
      </c>
      <c r="C80" s="217"/>
      <c r="D80" s="217"/>
      <c r="E80" s="219"/>
      <c r="F80" s="220" t="s">
        <v>0</v>
      </c>
      <c r="G80" s="221">
        <f>+F89+F98</f>
        <v>0</v>
      </c>
    </row>
    <row r="81" spans="1:7">
      <c r="A81" s="91"/>
      <c r="B81" s="92"/>
      <c r="C81" s="85"/>
      <c r="D81" s="85"/>
      <c r="E81" s="86"/>
      <c r="F81" s="85"/>
      <c r="G81" s="85"/>
    </row>
    <row r="82" spans="1:7">
      <c r="A82" s="102" t="s">
        <v>12</v>
      </c>
      <c r="B82" s="92" t="s">
        <v>142</v>
      </c>
      <c r="C82" s="85"/>
      <c r="D82" s="85"/>
      <c r="E82" s="86"/>
      <c r="F82" s="85"/>
      <c r="G82" s="85"/>
    </row>
    <row r="83" spans="1:7">
      <c r="A83" s="93"/>
      <c r="B83" s="103"/>
      <c r="C83" s="85"/>
      <c r="D83" s="85"/>
      <c r="E83" s="86"/>
      <c r="F83" s="85"/>
      <c r="G83" s="85"/>
    </row>
    <row r="84" spans="1:7">
      <c r="A84" s="64"/>
      <c r="B84" s="92" t="s">
        <v>44</v>
      </c>
      <c r="C84" s="78"/>
      <c r="D84" s="78"/>
      <c r="E84" s="94"/>
      <c r="F84" s="78"/>
      <c r="G84" s="85"/>
    </row>
    <row r="85" spans="1:7">
      <c r="A85" s="64"/>
      <c r="B85" s="92"/>
      <c r="C85" s="78"/>
      <c r="D85" s="78"/>
      <c r="E85" s="94"/>
      <c r="F85" s="78"/>
      <c r="G85" s="85"/>
    </row>
    <row r="86" spans="1:7">
      <c r="A86" s="64"/>
      <c r="B86" s="95" t="s">
        <v>45</v>
      </c>
      <c r="C86" s="96" t="s">
        <v>46</v>
      </c>
      <c r="D86" s="96" t="s">
        <v>47</v>
      </c>
      <c r="E86" s="96" t="s">
        <v>14</v>
      </c>
      <c r="F86" s="96" t="s">
        <v>4</v>
      </c>
      <c r="G86" s="85"/>
    </row>
    <row r="87" spans="1:7">
      <c r="A87" s="64"/>
      <c r="B87" s="117" t="str">
        <f t="shared" ref="B87:D88" si="2">+B54</f>
        <v>INSPECTOR DE OBRA 2</v>
      </c>
      <c r="C87" s="99">
        <f t="shared" si="2"/>
        <v>0</v>
      </c>
      <c r="D87" s="99">
        <f t="shared" si="2"/>
        <v>1</v>
      </c>
      <c r="E87" s="99">
        <f>+E54/12</f>
        <v>333.32500000000005</v>
      </c>
      <c r="F87" s="117">
        <f>+C87*D87*E87</f>
        <v>0</v>
      </c>
      <c r="G87" s="85"/>
    </row>
    <row r="88" spans="1:7">
      <c r="A88" s="67"/>
      <c r="B88" s="117" t="str">
        <f t="shared" si="2"/>
        <v>ASISTENTE ADMINISTRATIVO 2</v>
      </c>
      <c r="C88" s="99">
        <f t="shared" si="2"/>
        <v>0</v>
      </c>
      <c r="D88" s="99">
        <f t="shared" si="2"/>
        <v>0</v>
      </c>
      <c r="E88" s="99">
        <f>+E55/12</f>
        <v>100</v>
      </c>
      <c r="F88" s="117">
        <f>+C88*D88*E88</f>
        <v>0</v>
      </c>
      <c r="G88" s="85"/>
    </row>
    <row r="89" spans="1:7">
      <c r="A89" s="64"/>
      <c r="B89" s="498" t="s">
        <v>3</v>
      </c>
      <c r="C89" s="498"/>
      <c r="D89" s="498"/>
      <c r="E89" s="498"/>
      <c r="F89" s="259">
        <f>SUM(F87:F88)</f>
        <v>0</v>
      </c>
      <c r="G89" s="85"/>
    </row>
    <row r="90" spans="1:7">
      <c r="A90" s="91"/>
      <c r="B90" s="92"/>
      <c r="C90" s="85"/>
      <c r="D90" s="85"/>
      <c r="E90" s="86"/>
      <c r="F90" s="85"/>
      <c r="G90" s="85"/>
    </row>
    <row r="91" spans="1:7">
      <c r="A91" s="102" t="s">
        <v>15</v>
      </c>
      <c r="B91" s="92" t="s">
        <v>141</v>
      </c>
      <c r="C91" s="85"/>
      <c r="D91" s="85"/>
      <c r="E91" s="86"/>
      <c r="F91" s="85"/>
      <c r="G91" s="85"/>
    </row>
    <row r="92" spans="1:7">
      <c r="A92" s="93"/>
      <c r="B92" s="103"/>
      <c r="C92" s="85"/>
      <c r="D92" s="85"/>
      <c r="E92" s="86"/>
      <c r="F92" s="85"/>
      <c r="G92" s="85"/>
    </row>
    <row r="93" spans="1:7">
      <c r="A93" s="64"/>
      <c r="B93" s="92" t="s">
        <v>44</v>
      </c>
      <c r="C93" s="78"/>
      <c r="D93" s="78"/>
      <c r="E93" s="94"/>
      <c r="F93" s="78"/>
      <c r="G93" s="85"/>
    </row>
    <row r="94" spans="1:7">
      <c r="A94" s="64"/>
      <c r="B94" s="92"/>
      <c r="C94" s="78"/>
      <c r="D94" s="78"/>
      <c r="E94" s="94"/>
      <c r="F94" s="78"/>
      <c r="G94" s="85"/>
    </row>
    <row r="95" spans="1:7">
      <c r="A95" s="64"/>
      <c r="B95" s="95" t="s">
        <v>45</v>
      </c>
      <c r="C95" s="96" t="s">
        <v>46</v>
      </c>
      <c r="D95" s="96" t="s">
        <v>47</v>
      </c>
      <c r="E95" s="96" t="s">
        <v>14</v>
      </c>
      <c r="F95" s="96" t="s">
        <v>4</v>
      </c>
      <c r="G95" s="85"/>
    </row>
    <row r="96" spans="1:7">
      <c r="A96" s="64"/>
      <c r="B96" s="117" t="str">
        <f t="shared" ref="B96:D97" si="3">+B54</f>
        <v>INSPECTOR DE OBRA 2</v>
      </c>
      <c r="C96" s="99">
        <f t="shared" si="3"/>
        <v>0</v>
      </c>
      <c r="D96" s="99">
        <f t="shared" si="3"/>
        <v>1</v>
      </c>
      <c r="E96" s="99">
        <f>+E54/12</f>
        <v>333.32500000000005</v>
      </c>
      <c r="F96" s="117">
        <f>+C96*D96*E96</f>
        <v>0</v>
      </c>
      <c r="G96" s="85"/>
    </row>
    <row r="97" spans="1:7">
      <c r="A97" s="67"/>
      <c r="B97" s="117" t="str">
        <f t="shared" si="3"/>
        <v>ASISTENTE ADMINISTRATIVO 2</v>
      </c>
      <c r="C97" s="99">
        <f t="shared" si="3"/>
        <v>0</v>
      </c>
      <c r="D97" s="99">
        <f t="shared" si="3"/>
        <v>0</v>
      </c>
      <c r="E97" s="99">
        <f>+E55/12</f>
        <v>100</v>
      </c>
      <c r="F97" s="117">
        <f>+C97*D97*E97</f>
        <v>0</v>
      </c>
      <c r="G97" s="85"/>
    </row>
    <row r="98" spans="1:7">
      <c r="A98" s="64"/>
      <c r="B98" s="498" t="s">
        <v>3</v>
      </c>
      <c r="C98" s="498"/>
      <c r="D98" s="498"/>
      <c r="E98" s="498"/>
      <c r="F98" s="259">
        <f>SUM(F96:F97)</f>
        <v>0</v>
      </c>
      <c r="G98" s="85"/>
    </row>
    <row r="99" spans="1:7">
      <c r="A99" s="91"/>
      <c r="B99" s="92"/>
      <c r="C99" s="85"/>
      <c r="D99" s="85"/>
      <c r="E99" s="86"/>
      <c r="F99" s="85"/>
      <c r="G99" s="85"/>
    </row>
    <row r="100" spans="1:7" ht="15.75">
      <c r="A100" s="215">
        <v>4</v>
      </c>
      <c r="B100" s="216" t="s">
        <v>110</v>
      </c>
      <c r="C100" s="217"/>
      <c r="D100" s="217"/>
      <c r="E100" s="219"/>
      <c r="F100" s="220" t="s">
        <v>0</v>
      </c>
      <c r="G100" s="221">
        <f>+G102</f>
        <v>0</v>
      </c>
    </row>
    <row r="101" spans="1:7">
      <c r="A101" s="91"/>
      <c r="B101" s="92"/>
      <c r="C101" s="85"/>
      <c r="D101" s="85"/>
      <c r="E101" s="86"/>
      <c r="F101" s="85"/>
      <c r="G101" s="85"/>
    </row>
    <row r="102" spans="1:7" ht="15.75">
      <c r="A102" s="91">
        <v>4.01</v>
      </c>
      <c r="B102" s="92" t="s">
        <v>140</v>
      </c>
      <c r="C102" s="78"/>
      <c r="D102" s="78"/>
      <c r="E102" s="94"/>
      <c r="F102" s="87" t="s">
        <v>0</v>
      </c>
      <c r="G102" s="88">
        <f>+F109</f>
        <v>0</v>
      </c>
    </row>
    <row r="103" spans="1:7">
      <c r="A103" s="102"/>
      <c r="B103" s="92"/>
      <c r="C103" s="78"/>
      <c r="D103" s="78"/>
      <c r="E103" s="94"/>
      <c r="F103" s="78"/>
      <c r="G103" s="85"/>
    </row>
    <row r="104" spans="1:7">
      <c r="A104" s="102"/>
      <c r="B104" s="92" t="s">
        <v>44</v>
      </c>
      <c r="C104" s="78"/>
      <c r="D104" s="78"/>
      <c r="E104" s="94"/>
      <c r="F104" s="78"/>
      <c r="G104" s="85"/>
    </row>
    <row r="105" spans="1:7">
      <c r="A105" s="64"/>
      <c r="B105" s="92"/>
      <c r="C105" s="78"/>
      <c r="D105" s="78"/>
      <c r="E105" s="94"/>
      <c r="F105" s="78"/>
      <c r="G105" s="85"/>
    </row>
    <row r="106" spans="1:7">
      <c r="A106" s="64"/>
      <c r="B106" s="95" t="s">
        <v>45</v>
      </c>
      <c r="C106" s="96" t="s">
        <v>46</v>
      </c>
      <c r="D106" s="96" t="s">
        <v>47</v>
      </c>
      <c r="E106" s="96" t="s">
        <v>14</v>
      </c>
      <c r="F106" s="96" t="s">
        <v>4</v>
      </c>
      <c r="G106" s="85"/>
    </row>
    <row r="107" spans="1:7">
      <c r="A107" s="64"/>
      <c r="B107" s="117" t="str">
        <f t="shared" ref="B107:D108" si="4">+B54</f>
        <v>INSPECTOR DE OBRA 2</v>
      </c>
      <c r="C107" s="99">
        <f t="shared" si="4"/>
        <v>0</v>
      </c>
      <c r="D107" s="99">
        <f t="shared" si="4"/>
        <v>1</v>
      </c>
      <c r="E107" s="99">
        <f>+E54/12*2</f>
        <v>666.65000000000009</v>
      </c>
      <c r="F107" s="117">
        <f>+C107*D107*E107</f>
        <v>0</v>
      </c>
      <c r="G107" s="85"/>
    </row>
    <row r="108" spans="1:7">
      <c r="A108" s="64"/>
      <c r="B108" s="111" t="str">
        <f t="shared" si="4"/>
        <v>ASISTENTE ADMINISTRATIVO 2</v>
      </c>
      <c r="C108" s="100">
        <f t="shared" si="4"/>
        <v>0</v>
      </c>
      <c r="D108" s="100">
        <f t="shared" si="4"/>
        <v>0</v>
      </c>
      <c r="E108" s="100">
        <f>+E55/12*2</f>
        <v>200</v>
      </c>
      <c r="F108" s="111">
        <f>+C108*D108*E108</f>
        <v>0</v>
      </c>
      <c r="G108" s="85"/>
    </row>
    <row r="109" spans="1:7">
      <c r="A109" s="67"/>
      <c r="B109" s="490" t="s">
        <v>3</v>
      </c>
      <c r="C109" s="490"/>
      <c r="D109" s="490"/>
      <c r="E109" s="490"/>
      <c r="F109" s="259">
        <f>SUM(F107:F108)</f>
        <v>0</v>
      </c>
      <c r="G109" s="85"/>
    </row>
    <row r="110" spans="1:7">
      <c r="A110" s="64"/>
      <c r="B110" s="85"/>
      <c r="C110" s="85"/>
      <c r="D110" s="85"/>
      <c r="E110" s="86"/>
      <c r="F110" s="85"/>
      <c r="G110" s="85"/>
    </row>
    <row r="111" spans="1:7" ht="15.75">
      <c r="A111" s="242" t="s">
        <v>206</v>
      </c>
      <c r="B111" s="243"/>
      <c r="C111" s="239"/>
      <c r="D111" s="239"/>
      <c r="E111" s="240"/>
      <c r="F111" s="240" t="s">
        <v>0</v>
      </c>
      <c r="G111" s="241">
        <f>+G113+G121+G129</f>
        <v>0</v>
      </c>
    </row>
    <row r="112" spans="1:7">
      <c r="A112" s="91"/>
      <c r="B112" s="92"/>
      <c r="C112" s="85"/>
      <c r="D112" s="85"/>
      <c r="E112" s="86"/>
      <c r="F112" s="85"/>
      <c r="G112" s="85"/>
    </row>
    <row r="113" spans="1:7" ht="15.75">
      <c r="A113" s="83">
        <v>1</v>
      </c>
      <c r="B113" s="128" t="s">
        <v>40</v>
      </c>
      <c r="C113" s="85"/>
      <c r="D113" s="85"/>
      <c r="E113" s="86"/>
      <c r="F113" s="87" t="s">
        <v>0</v>
      </c>
      <c r="G113" s="88">
        <f>F118</f>
        <v>0</v>
      </c>
    </row>
    <row r="114" spans="1:7">
      <c r="A114" s="91"/>
      <c r="B114" s="92"/>
      <c r="C114" s="85"/>
      <c r="D114" s="85"/>
      <c r="E114" s="86"/>
      <c r="F114" s="85"/>
      <c r="G114" s="85"/>
    </row>
    <row r="115" spans="1:7">
      <c r="A115" s="64"/>
      <c r="B115" s="134" t="s">
        <v>24</v>
      </c>
      <c r="C115" s="134" t="s">
        <v>2</v>
      </c>
      <c r="D115" s="134" t="s">
        <v>25</v>
      </c>
      <c r="E115" s="134" t="s">
        <v>5</v>
      </c>
      <c r="F115" s="134" t="s">
        <v>4</v>
      </c>
      <c r="G115" s="118"/>
    </row>
    <row r="116" spans="1:7">
      <c r="A116" s="51"/>
      <c r="B116" s="116" t="s">
        <v>120</v>
      </c>
      <c r="C116" s="99" t="s">
        <v>8</v>
      </c>
      <c r="D116" s="108">
        <v>0</v>
      </c>
      <c r="E116" s="109">
        <v>260</v>
      </c>
      <c r="F116" s="117">
        <f>+D116*E116</f>
        <v>0</v>
      </c>
      <c r="G116" s="32"/>
    </row>
    <row r="117" spans="1:7">
      <c r="A117" s="64"/>
      <c r="B117" s="114" t="s">
        <v>108</v>
      </c>
      <c r="C117" s="100" t="s">
        <v>2</v>
      </c>
      <c r="D117" s="104">
        <v>0</v>
      </c>
      <c r="E117" s="104">
        <v>15</v>
      </c>
      <c r="F117" s="111">
        <f>+D117*E117</f>
        <v>0</v>
      </c>
      <c r="G117" s="103"/>
    </row>
    <row r="118" spans="1:7">
      <c r="A118" s="64"/>
      <c r="B118" s="486" t="s">
        <v>3</v>
      </c>
      <c r="C118" s="486"/>
      <c r="D118" s="486"/>
      <c r="E118" s="486"/>
      <c r="F118" s="135">
        <f>SUM(F116:F117)</f>
        <v>0</v>
      </c>
      <c r="G118" s="103"/>
    </row>
    <row r="119" spans="1:7">
      <c r="A119" s="64"/>
      <c r="B119" s="118"/>
      <c r="C119" s="118"/>
      <c r="D119" s="118"/>
      <c r="E119" s="118"/>
      <c r="F119" s="118"/>
      <c r="G119" s="103"/>
    </row>
    <row r="120" spans="1:7">
      <c r="A120" s="64"/>
      <c r="B120" s="85"/>
      <c r="C120" s="85"/>
      <c r="D120" s="85"/>
      <c r="E120" s="86"/>
      <c r="F120" s="85"/>
      <c r="G120" s="85"/>
    </row>
    <row r="121" spans="1:7" ht="15.75">
      <c r="A121" s="127">
        <v>2</v>
      </c>
      <c r="B121" s="128" t="s">
        <v>133</v>
      </c>
      <c r="C121" s="136"/>
      <c r="D121" s="137"/>
      <c r="E121" s="138"/>
      <c r="F121" s="129" t="s">
        <v>0</v>
      </c>
      <c r="G121" s="130">
        <f>+F127</f>
        <v>0</v>
      </c>
    </row>
    <row r="122" spans="1:7">
      <c r="A122" s="131"/>
      <c r="B122" s="132"/>
      <c r="C122" s="139"/>
      <c r="D122" s="140"/>
      <c r="E122" s="139"/>
      <c r="F122" s="140"/>
      <c r="G122" s="70"/>
    </row>
    <row r="123" spans="1:7">
      <c r="A123" s="131"/>
      <c r="B123" s="134" t="s">
        <v>24</v>
      </c>
      <c r="C123" s="134" t="s">
        <v>2</v>
      </c>
      <c r="D123" s="134" t="s">
        <v>25</v>
      </c>
      <c r="E123" s="134" t="s">
        <v>5</v>
      </c>
      <c r="F123" s="134" t="s">
        <v>4</v>
      </c>
      <c r="G123" s="70"/>
    </row>
    <row r="124" spans="1:7">
      <c r="A124" s="131"/>
      <c r="B124" s="116" t="s">
        <v>165</v>
      </c>
      <c r="C124" s="99" t="s">
        <v>6</v>
      </c>
      <c r="D124" s="99">
        <v>0</v>
      </c>
      <c r="E124" s="99">
        <v>13</v>
      </c>
      <c r="F124" s="115">
        <f>E124*D124</f>
        <v>0</v>
      </c>
      <c r="G124" s="70"/>
    </row>
    <row r="125" spans="1:7">
      <c r="A125" s="91"/>
      <c r="B125" s="97" t="s">
        <v>158</v>
      </c>
      <c r="C125" s="271" t="s">
        <v>6</v>
      </c>
      <c r="D125" s="271">
        <v>0</v>
      </c>
      <c r="E125" s="271">
        <v>13</v>
      </c>
      <c r="F125" s="272">
        <f>+D125*E125</f>
        <v>0</v>
      </c>
      <c r="G125" s="85"/>
    </row>
    <row r="126" spans="1:7">
      <c r="A126" s="131"/>
      <c r="B126" s="111" t="s">
        <v>7</v>
      </c>
      <c r="C126" s="112" t="s">
        <v>6</v>
      </c>
      <c r="D126" s="112">
        <v>0</v>
      </c>
      <c r="E126" s="112">
        <v>45</v>
      </c>
      <c r="F126" s="141">
        <f>+D126*E126</f>
        <v>0</v>
      </c>
      <c r="G126" s="234"/>
    </row>
    <row r="127" spans="1:7">
      <c r="A127" s="133"/>
      <c r="B127" s="486" t="s">
        <v>3</v>
      </c>
      <c r="C127" s="486"/>
      <c r="D127" s="486"/>
      <c r="E127" s="486"/>
      <c r="F127" s="135">
        <f>SUM(F124:F126)</f>
        <v>0</v>
      </c>
      <c r="G127" s="70"/>
    </row>
    <row r="128" spans="1:7">
      <c r="A128" s="133"/>
      <c r="B128" s="142"/>
      <c r="C128" s="126"/>
      <c r="D128" s="143"/>
      <c r="E128" s="126"/>
      <c r="F128" s="143"/>
      <c r="G128" s="70"/>
    </row>
    <row r="129" spans="1:7" ht="15.75">
      <c r="A129" s="83">
        <v>3</v>
      </c>
      <c r="B129" s="128" t="s">
        <v>55</v>
      </c>
      <c r="C129" s="85"/>
      <c r="D129" s="85"/>
      <c r="E129" s="16"/>
      <c r="F129" s="87" t="s">
        <v>0</v>
      </c>
      <c r="G129" s="88">
        <f>+F154</f>
        <v>0</v>
      </c>
    </row>
    <row r="130" spans="1:7">
      <c r="A130" s="91"/>
      <c r="B130" s="92"/>
      <c r="C130" s="85"/>
      <c r="D130" s="85"/>
      <c r="E130" s="86"/>
      <c r="F130" s="85"/>
      <c r="G130" s="78"/>
    </row>
    <row r="131" spans="1:7">
      <c r="A131" s="64"/>
      <c r="B131" s="95" t="s">
        <v>53</v>
      </c>
      <c r="C131" s="96" t="s">
        <v>63</v>
      </c>
      <c r="D131" s="96" t="s">
        <v>25</v>
      </c>
      <c r="E131" s="96" t="s">
        <v>5</v>
      </c>
      <c r="F131" s="96" t="s">
        <v>4</v>
      </c>
      <c r="G131" s="78"/>
    </row>
    <row r="132" spans="1:7">
      <c r="A132" s="64"/>
      <c r="B132" s="54" t="s">
        <v>105</v>
      </c>
      <c r="C132" s="110" t="s">
        <v>2</v>
      </c>
      <c r="D132" s="110"/>
      <c r="E132" s="110">
        <v>0.5</v>
      </c>
      <c r="F132" s="54">
        <f t="shared" ref="F132:F152" si="5">+D132*E132</f>
        <v>0</v>
      </c>
      <c r="G132" s="78"/>
    </row>
    <row r="133" spans="1:7">
      <c r="A133" s="64"/>
      <c r="B133" s="54" t="s">
        <v>59</v>
      </c>
      <c r="C133" s="110" t="s">
        <v>2</v>
      </c>
      <c r="D133" s="110"/>
      <c r="E133" s="110">
        <v>9</v>
      </c>
      <c r="F133" s="54">
        <f t="shared" si="5"/>
        <v>0</v>
      </c>
      <c r="G133" s="78"/>
    </row>
    <row r="134" spans="1:7">
      <c r="A134" s="64"/>
      <c r="B134" s="54" t="s">
        <v>103</v>
      </c>
      <c r="C134" s="110" t="s">
        <v>2</v>
      </c>
      <c r="D134" s="110"/>
      <c r="E134" s="110">
        <v>1</v>
      </c>
      <c r="F134" s="54">
        <f t="shared" si="5"/>
        <v>0</v>
      </c>
      <c r="G134" s="78"/>
    </row>
    <row r="135" spans="1:7">
      <c r="A135" s="64"/>
      <c r="B135" s="54" t="s">
        <v>98</v>
      </c>
      <c r="C135" s="110" t="s">
        <v>2</v>
      </c>
      <c r="D135" s="110"/>
      <c r="E135" s="110">
        <v>2</v>
      </c>
      <c r="F135" s="54">
        <f t="shared" si="5"/>
        <v>0</v>
      </c>
      <c r="G135" s="78"/>
    </row>
    <row r="136" spans="1:7">
      <c r="A136" s="64"/>
      <c r="B136" s="54" t="s">
        <v>121</v>
      </c>
      <c r="C136" s="110" t="s">
        <v>2</v>
      </c>
      <c r="D136" s="110"/>
      <c r="E136" s="110">
        <v>5</v>
      </c>
      <c r="F136" s="54">
        <f t="shared" si="5"/>
        <v>0</v>
      </c>
      <c r="G136" s="78"/>
    </row>
    <row r="137" spans="1:7">
      <c r="A137" s="64"/>
      <c r="B137" s="54" t="s">
        <v>57</v>
      </c>
      <c r="C137" s="110" t="s">
        <v>2</v>
      </c>
      <c r="D137" s="110"/>
      <c r="E137" s="110">
        <v>3</v>
      </c>
      <c r="F137" s="54">
        <f t="shared" si="5"/>
        <v>0</v>
      </c>
      <c r="G137" s="78"/>
    </row>
    <row r="138" spans="1:7">
      <c r="A138" s="64"/>
      <c r="B138" s="54" t="s">
        <v>101</v>
      </c>
      <c r="C138" s="110" t="s">
        <v>2</v>
      </c>
      <c r="D138" s="110"/>
      <c r="E138" s="110">
        <v>4</v>
      </c>
      <c r="F138" s="54">
        <f t="shared" si="5"/>
        <v>0</v>
      </c>
      <c r="G138" s="78"/>
    </row>
    <row r="139" spans="1:7">
      <c r="A139" s="64"/>
      <c r="B139" s="54" t="s">
        <v>104</v>
      </c>
      <c r="C139" s="110" t="s">
        <v>2</v>
      </c>
      <c r="D139" s="110"/>
      <c r="E139" s="110">
        <v>1</v>
      </c>
      <c r="F139" s="54">
        <f t="shared" si="5"/>
        <v>0</v>
      </c>
      <c r="G139" s="78"/>
    </row>
    <row r="140" spans="1:7">
      <c r="A140" s="64"/>
      <c r="B140" s="54" t="s">
        <v>92</v>
      </c>
      <c r="C140" s="110" t="s">
        <v>54</v>
      </c>
      <c r="D140" s="110"/>
      <c r="E140" s="110">
        <v>6</v>
      </c>
      <c r="F140" s="54">
        <f t="shared" si="5"/>
        <v>0</v>
      </c>
      <c r="G140" s="78"/>
    </row>
    <row r="141" spans="1:7">
      <c r="A141" s="64"/>
      <c r="B141" s="54" t="s">
        <v>91</v>
      </c>
      <c r="C141" s="110" t="s">
        <v>2</v>
      </c>
      <c r="D141" s="110"/>
      <c r="E141" s="110">
        <v>0.8</v>
      </c>
      <c r="F141" s="54">
        <f t="shared" si="5"/>
        <v>0</v>
      </c>
      <c r="G141" s="78"/>
    </row>
    <row r="142" spans="1:7">
      <c r="A142" s="64"/>
      <c r="B142" s="54" t="s">
        <v>122</v>
      </c>
      <c r="C142" s="110" t="s">
        <v>2</v>
      </c>
      <c r="D142" s="110"/>
      <c r="E142" s="110">
        <v>1</v>
      </c>
      <c r="F142" s="54">
        <f t="shared" si="5"/>
        <v>0</v>
      </c>
      <c r="G142" s="78"/>
    </row>
    <row r="143" spans="1:7">
      <c r="A143" s="64"/>
      <c r="B143" s="54" t="s">
        <v>102</v>
      </c>
      <c r="C143" s="110" t="s">
        <v>2</v>
      </c>
      <c r="D143" s="110"/>
      <c r="E143" s="110">
        <v>8</v>
      </c>
      <c r="F143" s="54">
        <f t="shared" si="5"/>
        <v>0</v>
      </c>
      <c r="G143" s="78"/>
    </row>
    <row r="144" spans="1:7">
      <c r="A144" s="64"/>
      <c r="B144" s="54" t="s">
        <v>94</v>
      </c>
      <c r="C144" s="110" t="s">
        <v>54</v>
      </c>
      <c r="D144" s="110"/>
      <c r="E144" s="110">
        <v>19.5</v>
      </c>
      <c r="F144" s="54">
        <f t="shared" si="5"/>
        <v>0</v>
      </c>
      <c r="G144" s="78"/>
    </row>
    <row r="145" spans="1:10">
      <c r="A145" s="64"/>
      <c r="B145" s="54" t="s">
        <v>62</v>
      </c>
      <c r="C145" s="110" t="s">
        <v>56</v>
      </c>
      <c r="D145" s="110">
        <v>0</v>
      </c>
      <c r="E145" s="110">
        <v>32</v>
      </c>
      <c r="F145" s="54">
        <f t="shared" si="5"/>
        <v>0</v>
      </c>
      <c r="G145" s="78"/>
    </row>
    <row r="146" spans="1:10">
      <c r="A146" s="64"/>
      <c r="B146" s="54" t="s">
        <v>99</v>
      </c>
      <c r="C146" s="110" t="s">
        <v>2</v>
      </c>
      <c r="D146" s="110"/>
      <c r="E146" s="110">
        <v>4.5</v>
      </c>
      <c r="F146" s="54">
        <f t="shared" si="5"/>
        <v>0</v>
      </c>
      <c r="G146" s="78"/>
    </row>
    <row r="147" spans="1:10">
      <c r="A147" s="64"/>
      <c r="B147" s="54" t="s">
        <v>129</v>
      </c>
      <c r="C147" s="110" t="s">
        <v>2</v>
      </c>
      <c r="D147" s="110"/>
      <c r="E147" s="110">
        <v>36</v>
      </c>
      <c r="F147" s="54">
        <f t="shared" si="5"/>
        <v>0</v>
      </c>
      <c r="G147" s="78"/>
    </row>
    <row r="148" spans="1:10">
      <c r="A148" s="64"/>
      <c r="B148" s="54" t="s">
        <v>95</v>
      </c>
      <c r="C148" s="110" t="s">
        <v>2</v>
      </c>
      <c r="D148" s="110"/>
      <c r="E148" s="110">
        <v>5</v>
      </c>
      <c r="F148" s="54">
        <f t="shared" si="5"/>
        <v>0</v>
      </c>
      <c r="G148" s="78"/>
    </row>
    <row r="149" spans="1:10">
      <c r="A149" s="64"/>
      <c r="B149" s="54" t="s">
        <v>96</v>
      </c>
      <c r="C149" s="110" t="s">
        <v>2</v>
      </c>
      <c r="D149" s="110"/>
      <c r="E149" s="110">
        <v>15</v>
      </c>
      <c r="F149" s="54">
        <f t="shared" si="5"/>
        <v>0</v>
      </c>
      <c r="G149" s="78"/>
    </row>
    <row r="150" spans="1:10">
      <c r="A150" s="64"/>
      <c r="B150" s="54" t="s">
        <v>107</v>
      </c>
      <c r="C150" s="110" t="s">
        <v>83</v>
      </c>
      <c r="D150" s="110"/>
      <c r="E150" s="110">
        <v>4.75</v>
      </c>
      <c r="F150" s="54">
        <f t="shared" si="5"/>
        <v>0</v>
      </c>
      <c r="G150" s="78"/>
    </row>
    <row r="151" spans="1:10">
      <c r="A151" s="64"/>
      <c r="B151" s="54" t="s">
        <v>97</v>
      </c>
      <c r="C151" s="110" t="s">
        <v>2</v>
      </c>
      <c r="D151" s="110"/>
      <c r="E151" s="110">
        <v>1.5</v>
      </c>
      <c r="F151" s="54">
        <f t="shared" si="5"/>
        <v>0</v>
      </c>
      <c r="G151" s="78"/>
    </row>
    <row r="152" spans="1:10">
      <c r="A152" s="64"/>
      <c r="B152" s="54" t="s">
        <v>100</v>
      </c>
      <c r="C152" s="110" t="s">
        <v>2</v>
      </c>
      <c r="D152" s="110"/>
      <c r="E152" s="110">
        <v>3</v>
      </c>
      <c r="F152" s="54">
        <f t="shared" si="5"/>
        <v>0</v>
      </c>
      <c r="G152" s="78"/>
    </row>
    <row r="153" spans="1:10">
      <c r="A153" s="64"/>
      <c r="B153" s="52" t="s">
        <v>78</v>
      </c>
      <c r="C153" s="53" t="s">
        <v>2</v>
      </c>
      <c r="D153" s="53">
        <v>0</v>
      </c>
      <c r="E153" s="53">
        <v>143.27000000000001</v>
      </c>
      <c r="F153" s="107">
        <v>0</v>
      </c>
      <c r="G153" s="78"/>
      <c r="J153" s="184"/>
    </row>
    <row r="154" spans="1:10">
      <c r="A154" s="93"/>
      <c r="B154" s="486" t="s">
        <v>3</v>
      </c>
      <c r="C154" s="486"/>
      <c r="D154" s="486"/>
      <c r="E154" s="486"/>
      <c r="F154" s="98">
        <f>SUM(F132:F153)</f>
        <v>0</v>
      </c>
      <c r="G154" s="78"/>
    </row>
    <row r="155" spans="1:10">
      <c r="A155" s="93"/>
      <c r="B155" s="118"/>
      <c r="C155" s="118"/>
      <c r="D155" s="118"/>
      <c r="E155" s="118"/>
      <c r="F155" s="85"/>
      <c r="G155" s="78"/>
    </row>
    <row r="156" spans="1:10" ht="15.75">
      <c r="A156" s="83">
        <v>4</v>
      </c>
      <c r="B156" s="84" t="s">
        <v>130</v>
      </c>
      <c r="C156" s="85"/>
      <c r="D156" s="85"/>
      <c r="E156" s="16"/>
      <c r="F156" s="87" t="s">
        <v>0</v>
      </c>
      <c r="G156" s="158">
        <f>F162</f>
        <v>0</v>
      </c>
    </row>
    <row r="157" spans="1:10">
      <c r="A157" s="91"/>
      <c r="B157" s="92"/>
      <c r="C157" s="85"/>
      <c r="D157" s="85"/>
      <c r="E157" s="86"/>
      <c r="F157" s="85"/>
      <c r="G157" s="78"/>
    </row>
    <row r="158" spans="1:10">
      <c r="A158" s="91"/>
      <c r="B158" s="95" t="s">
        <v>53</v>
      </c>
      <c r="C158" s="96" t="s">
        <v>63</v>
      </c>
      <c r="D158" s="96" t="s">
        <v>25</v>
      </c>
      <c r="E158" s="96" t="s">
        <v>5</v>
      </c>
      <c r="F158" s="96" t="s">
        <v>4</v>
      </c>
      <c r="G158" s="78"/>
    </row>
    <row r="159" spans="1:10">
      <c r="A159" s="91"/>
      <c r="B159" s="268" t="s">
        <v>128</v>
      </c>
      <c r="C159" s="269" t="s">
        <v>63</v>
      </c>
      <c r="D159" s="270"/>
      <c r="E159" s="99">
        <v>165</v>
      </c>
      <c r="F159" s="159">
        <f>D159*E159</f>
        <v>0</v>
      </c>
      <c r="G159" s="78"/>
    </row>
    <row r="160" spans="1:10">
      <c r="A160" s="91"/>
      <c r="B160" s="52" t="s">
        <v>127</v>
      </c>
      <c r="C160" s="14" t="s">
        <v>63</v>
      </c>
      <c r="D160" s="86"/>
      <c r="E160" s="53">
        <v>5600</v>
      </c>
      <c r="F160" s="159">
        <f>D160*E160</f>
        <v>0</v>
      </c>
      <c r="G160" s="78"/>
    </row>
    <row r="161" spans="1:7">
      <c r="A161" s="91"/>
      <c r="B161" s="161" t="s">
        <v>114</v>
      </c>
      <c r="C161" s="100" t="s">
        <v>63</v>
      </c>
      <c r="D161" s="162"/>
      <c r="E161" s="100">
        <v>680.5</v>
      </c>
      <c r="F161" s="163">
        <f>+D161*E161</f>
        <v>0</v>
      </c>
      <c r="G161" s="78"/>
    </row>
    <row r="162" spans="1:7">
      <c r="A162" s="91"/>
      <c r="B162" s="495" t="s">
        <v>3</v>
      </c>
      <c r="C162" s="496"/>
      <c r="D162" s="496"/>
      <c r="E162" s="497"/>
      <c r="F162" s="98">
        <f>SUM(F159:F161)</f>
        <v>0</v>
      </c>
      <c r="G162" s="78"/>
    </row>
    <row r="163" spans="1:7" ht="15.75">
      <c r="A163" s="127"/>
      <c r="B163" s="91"/>
      <c r="C163" s="92"/>
      <c r="D163" s="144"/>
      <c r="E163" s="145"/>
      <c r="F163" s="129"/>
      <c r="G163" s="130"/>
    </row>
    <row r="164" spans="1:7">
      <c r="A164" s="64"/>
      <c r="B164" s="118"/>
      <c r="C164" s="118"/>
      <c r="D164" s="118"/>
      <c r="E164" s="118"/>
      <c r="F164" s="85"/>
      <c r="G164" s="78"/>
    </row>
    <row r="165" spans="1:7" ht="15.75">
      <c r="A165" s="242" t="s">
        <v>207</v>
      </c>
      <c r="B165" s="243"/>
      <c r="C165" s="239"/>
      <c r="D165" s="239"/>
      <c r="E165" s="240"/>
      <c r="F165" s="240" t="s">
        <v>0</v>
      </c>
      <c r="G165" s="241">
        <f>+G167</f>
        <v>0</v>
      </c>
    </row>
    <row r="166" spans="1:7" ht="15.75">
      <c r="A166" s="127"/>
      <c r="B166" s="154"/>
      <c r="C166" s="146"/>
      <c r="D166" s="146"/>
      <c r="E166" s="145"/>
      <c r="F166" s="129"/>
      <c r="G166" s="130"/>
    </row>
    <row r="167" spans="1:7" ht="15.75">
      <c r="A167" s="127"/>
      <c r="B167" s="92" t="s">
        <v>131</v>
      </c>
      <c r="C167" s="146"/>
      <c r="D167" s="146"/>
      <c r="E167" s="145"/>
      <c r="F167" s="129" t="s">
        <v>0</v>
      </c>
      <c r="G167" s="130">
        <f>F175</f>
        <v>0</v>
      </c>
    </row>
    <row r="168" spans="1:7" ht="15.75">
      <c r="A168" s="127"/>
      <c r="B168" s="154"/>
      <c r="C168" s="146"/>
      <c r="D168" s="146"/>
      <c r="E168" s="145"/>
      <c r="F168" s="129"/>
      <c r="G168" s="130"/>
    </row>
    <row r="169" spans="1:7" ht="15.75">
      <c r="A169" s="102" t="s">
        <v>12</v>
      </c>
      <c r="B169" s="92" t="s">
        <v>33</v>
      </c>
      <c r="C169" s="85"/>
      <c r="D169" s="85"/>
      <c r="E169" s="86"/>
      <c r="F169" s="85"/>
      <c r="G169" s="130"/>
    </row>
    <row r="170" spans="1:7" ht="15.75">
      <c r="A170" s="127"/>
      <c r="B170" s="92"/>
      <c r="C170" s="85"/>
      <c r="D170" s="85"/>
      <c r="E170" s="86"/>
      <c r="F170" s="85"/>
      <c r="G170" s="130"/>
    </row>
    <row r="171" spans="1:7" ht="15.75">
      <c r="A171" s="127"/>
      <c r="B171" s="95" t="s">
        <v>53</v>
      </c>
      <c r="C171" s="96" t="s">
        <v>63</v>
      </c>
      <c r="D171" s="96" t="s">
        <v>25</v>
      </c>
      <c r="E171" s="96" t="s">
        <v>5</v>
      </c>
      <c r="F171" s="96" t="s">
        <v>4</v>
      </c>
      <c r="G171" s="130"/>
    </row>
    <row r="172" spans="1:7" ht="15.75">
      <c r="A172" s="127"/>
      <c r="B172" s="52" t="s">
        <v>160</v>
      </c>
      <c r="C172" s="53" t="s">
        <v>173</v>
      </c>
      <c r="D172" s="53"/>
      <c r="E172" s="53">
        <v>135</v>
      </c>
      <c r="F172" s="107">
        <f>+D172*E172</f>
        <v>0</v>
      </c>
      <c r="G172" s="130"/>
    </row>
    <row r="173" spans="1:7" ht="15.75">
      <c r="A173" s="127"/>
      <c r="B173" s="52" t="s">
        <v>134</v>
      </c>
      <c r="C173" s="53" t="s">
        <v>2</v>
      </c>
      <c r="D173" s="53"/>
      <c r="E173" s="53">
        <v>3.5</v>
      </c>
      <c r="F173" s="107">
        <f>+D173*E173</f>
        <v>0</v>
      </c>
      <c r="G173" s="130"/>
    </row>
    <row r="174" spans="1:7" ht="15.75">
      <c r="A174" s="127"/>
      <c r="B174" s="52" t="s">
        <v>279</v>
      </c>
      <c r="C174" s="53" t="s">
        <v>56</v>
      </c>
      <c r="D174" s="53"/>
      <c r="E174" s="53">
        <v>100</v>
      </c>
      <c r="F174" s="107">
        <f>+D174*E174</f>
        <v>0</v>
      </c>
      <c r="G174" s="130"/>
    </row>
    <row r="175" spans="1:7" ht="15.75">
      <c r="A175" s="127"/>
      <c r="B175" s="495" t="s">
        <v>3</v>
      </c>
      <c r="C175" s="496"/>
      <c r="D175" s="496"/>
      <c r="E175" s="497"/>
      <c r="F175" s="259">
        <f>SUM(F172:F174)</f>
        <v>0</v>
      </c>
      <c r="G175" s="130"/>
    </row>
    <row r="176" spans="1:7">
      <c r="A176" s="133"/>
      <c r="B176" s="81"/>
      <c r="C176" s="81"/>
      <c r="D176" s="81"/>
      <c r="E176" s="81"/>
      <c r="F176" s="153"/>
      <c r="G176" s="70"/>
    </row>
    <row r="177" spans="1:7">
      <c r="A177" s="93"/>
      <c r="B177" s="118"/>
      <c r="C177" s="118"/>
      <c r="D177" s="118"/>
      <c r="E177" s="118"/>
      <c r="F177" s="85"/>
      <c r="G177" s="78"/>
    </row>
    <row r="178" spans="1:7" ht="15.75">
      <c r="A178" s="499" t="s">
        <v>284</v>
      </c>
      <c r="B178" s="499"/>
      <c r="C178" s="499"/>
      <c r="D178" s="499"/>
      <c r="E178" s="499"/>
      <c r="F178" s="87" t="s">
        <v>0</v>
      </c>
      <c r="G178" s="164">
        <f>+G165+G111+G45</f>
        <v>0</v>
      </c>
    </row>
    <row r="180" spans="1:7" ht="18">
      <c r="B180" s="266" t="s">
        <v>282</v>
      </c>
      <c r="F180" s="87" t="s">
        <v>0</v>
      </c>
      <c r="G180" s="164">
        <f>+G19</f>
        <v>0</v>
      </c>
    </row>
  </sheetData>
  <mergeCells count="19">
    <mergeCell ref="A1:G1"/>
    <mergeCell ref="C9:G10"/>
    <mergeCell ref="C13:F13"/>
    <mergeCell ref="B19:F19"/>
    <mergeCell ref="A23:G23"/>
    <mergeCell ref="B98:E98"/>
    <mergeCell ref="B38:E38"/>
    <mergeCell ref="A178:E178"/>
    <mergeCell ref="B109:E109"/>
    <mergeCell ref="B118:E118"/>
    <mergeCell ref="B127:E127"/>
    <mergeCell ref="B154:E154"/>
    <mergeCell ref="B175:E175"/>
    <mergeCell ref="B162:E162"/>
    <mergeCell ref="A41:E41"/>
    <mergeCell ref="B56:E56"/>
    <mergeCell ref="B68:E68"/>
    <mergeCell ref="B78:E78"/>
    <mergeCell ref="B89:E89"/>
  </mergeCells>
  <pageMargins left="0.57999999999999996" right="0.26" top="0.94488188976377963" bottom="0.43307086614173229" header="0" footer="0"/>
  <pageSetup paperSize="9" scale="60" orientation="portrait" horizontalDpi="4294967294" r:id="rId1"/>
  <headerFooter alignWithMargins="0"/>
  <rowBreaks count="2" manualBreakCount="2">
    <brk id="22" max="7" man="1"/>
    <brk id="98" max="7" man="1"/>
  </rowBreak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>
    <tabColor indexed="43"/>
  </sheetPr>
  <dimension ref="A1:J168"/>
  <sheetViews>
    <sheetView view="pageBreakPreview" topLeftCell="A79" zoomScale="85" zoomScaleNormal="70" zoomScaleSheetLayoutView="85" workbookViewId="0">
      <selection activeCell="E38" sqref="E38"/>
    </sheetView>
  </sheetViews>
  <sheetFormatPr baseColWidth="10" defaultColWidth="11.42578125" defaultRowHeight="12.75"/>
  <cols>
    <col min="1" max="1" width="8.7109375" style="70" customWidth="1"/>
    <col min="2" max="2" width="46.7109375" style="70" customWidth="1"/>
    <col min="3" max="3" width="18" style="70" customWidth="1"/>
    <col min="4" max="4" width="15.7109375" style="70" customWidth="1"/>
    <col min="5" max="5" width="11.140625" style="73" customWidth="1"/>
    <col min="6" max="6" width="16.42578125" style="70" customWidth="1"/>
    <col min="7" max="7" width="14.5703125" style="70" customWidth="1"/>
    <col min="8" max="8" width="11.42578125" style="63"/>
    <col min="9" max="9" width="14.140625" style="63" customWidth="1"/>
    <col min="10" max="16384" width="11.42578125" style="63"/>
  </cols>
  <sheetData>
    <row r="1" spans="1:7" ht="21" customHeight="1"/>
    <row r="2" spans="1:7" ht="21" customHeight="1"/>
    <row r="3" spans="1:7" ht="27" customHeight="1">
      <c r="A3" s="505" t="s">
        <v>586</v>
      </c>
      <c r="B3" s="505"/>
      <c r="C3" s="505"/>
      <c r="D3" s="505"/>
      <c r="E3" s="505"/>
      <c r="F3" s="505"/>
      <c r="G3" s="505"/>
    </row>
    <row r="4" spans="1:7" ht="18" customHeight="1">
      <c r="A4" s="65"/>
      <c r="B4" s="65"/>
      <c r="C4" s="65"/>
      <c r="D4" s="65"/>
      <c r="E4" s="66"/>
      <c r="F4" s="65"/>
      <c r="G4" s="65"/>
    </row>
    <row r="5" spans="1:7" ht="18" customHeight="1">
      <c r="B5" s="68"/>
      <c r="C5" s="69"/>
      <c r="D5" s="65"/>
      <c r="E5" s="66"/>
      <c r="F5" s="65"/>
    </row>
    <row r="6" spans="1:7" ht="18" customHeight="1">
      <c r="B6" s="68" t="s">
        <v>35</v>
      </c>
      <c r="C6" s="30" t="str">
        <f>'R'!C9</f>
        <v>:</v>
      </c>
      <c r="D6" s="65"/>
      <c r="E6" s="66"/>
      <c r="F6" s="65"/>
      <c r="G6" s="65"/>
    </row>
    <row r="7" spans="1:7" ht="18" customHeight="1">
      <c r="B7" s="68" t="s">
        <v>65</v>
      </c>
      <c r="C7" s="30" t="str">
        <f>'R'!C10</f>
        <v>:22 EDUCACIÓN</v>
      </c>
      <c r="G7" s="33" t="s">
        <v>1</v>
      </c>
    </row>
    <row r="8" spans="1:7" ht="18" customHeight="1">
      <c r="B8" s="29" t="s">
        <v>66</v>
      </c>
      <c r="C8" s="30" t="str">
        <f>'R'!C11</f>
        <v>:047 EDUCACIÓN BÁSICA</v>
      </c>
      <c r="G8" s="33"/>
    </row>
    <row r="9" spans="1:7" ht="18" customHeight="1">
      <c r="B9" s="29" t="s">
        <v>67</v>
      </c>
      <c r="C9" s="30" t="str">
        <f>'R'!C12</f>
        <v>:EDUCACIÓN PRIMARIA SECUNDARIA</v>
      </c>
    </row>
    <row r="10" spans="1:7" ht="18" customHeight="1">
      <c r="B10" s="29" t="s">
        <v>111</v>
      </c>
      <c r="C10" s="502" t="s">
        <v>652</v>
      </c>
      <c r="D10" s="502"/>
      <c r="E10" s="502"/>
      <c r="F10" s="502"/>
      <c r="G10" s="502"/>
    </row>
    <row r="11" spans="1:7" ht="18" customHeight="1">
      <c r="B11" s="29"/>
      <c r="C11" s="502"/>
      <c r="D11" s="502"/>
      <c r="E11" s="502"/>
      <c r="F11" s="502"/>
      <c r="G11" s="502"/>
    </row>
    <row r="12" spans="1:7" ht="18" customHeight="1" thickBot="1">
      <c r="B12" s="29"/>
      <c r="C12" s="30"/>
      <c r="D12" s="65"/>
    </row>
    <row r="13" spans="1:7" s="182" customFormat="1" ht="20.25" customHeight="1" thickBot="1">
      <c r="A13" s="183"/>
      <c r="B13" s="224" t="s">
        <v>36</v>
      </c>
      <c r="C13" s="487" t="s">
        <v>37</v>
      </c>
      <c r="D13" s="487"/>
      <c r="E13" s="487"/>
      <c r="F13" s="487"/>
      <c r="G13" s="225" t="s">
        <v>209</v>
      </c>
    </row>
    <row r="14" spans="1:7" s="182" customFormat="1" ht="20.25" customHeight="1">
      <c r="A14" s="183"/>
      <c r="B14" s="300" t="str">
        <f>'R'!A16</f>
        <v>2.6.2.2.2.4</v>
      </c>
      <c r="C14" s="205" t="s">
        <v>144</v>
      </c>
      <c r="D14" s="205"/>
      <c r="E14" s="205"/>
      <c r="F14" s="206"/>
      <c r="G14" s="207">
        <f>+G28</f>
        <v>17371.5</v>
      </c>
    </row>
    <row r="15" spans="1:7" s="182" customFormat="1" ht="20.25" customHeight="1">
      <c r="A15" s="183"/>
      <c r="B15" s="300" t="str">
        <f>'R'!A17</f>
        <v>2.6.2.2.2.5</v>
      </c>
      <c r="C15" s="199" t="s">
        <v>145</v>
      </c>
      <c r="D15" s="199"/>
      <c r="E15" s="199"/>
      <c r="F15" s="200"/>
      <c r="G15" s="201">
        <f>+G100</f>
        <v>5590</v>
      </c>
    </row>
    <row r="16" spans="1:7" s="182" customFormat="1" ht="20.25" customHeight="1">
      <c r="A16" s="183"/>
      <c r="B16" s="300" t="str">
        <f>'R'!A18</f>
        <v>2.6.2.2.2.6</v>
      </c>
      <c r="C16" s="202" t="s">
        <v>146</v>
      </c>
      <c r="D16" s="202"/>
      <c r="E16" s="202"/>
      <c r="F16" s="200"/>
      <c r="G16" s="201">
        <f>+G148</f>
        <v>2000</v>
      </c>
    </row>
    <row r="17" spans="1:10" s="182" customFormat="1" ht="20.25" customHeight="1">
      <c r="A17" s="183"/>
      <c r="B17" s="300" t="str">
        <f>'R'!A19</f>
        <v>2.6.2.2.2.7</v>
      </c>
      <c r="C17" s="199" t="s">
        <v>147</v>
      </c>
      <c r="D17" s="199"/>
      <c r="E17" s="199"/>
      <c r="F17" s="200"/>
      <c r="G17" s="201">
        <v>0</v>
      </c>
    </row>
    <row r="18" spans="1:10" s="182" customFormat="1" ht="20.25" customHeight="1" thickBot="1">
      <c r="A18" s="183"/>
      <c r="B18" s="488" t="s">
        <v>76</v>
      </c>
      <c r="C18" s="489"/>
      <c r="D18" s="489"/>
      <c r="E18" s="489"/>
      <c r="F18" s="489"/>
      <c r="G18" s="203">
        <f>SUM(G14:G17)</f>
        <v>24961.5</v>
      </c>
      <c r="H18" s="184"/>
      <c r="I18" s="328"/>
      <c r="J18" s="184"/>
    </row>
    <row r="19" spans="1:10" ht="18" customHeight="1">
      <c r="B19" s="75"/>
      <c r="C19" s="75"/>
      <c r="D19" s="75"/>
      <c r="E19" s="75"/>
      <c r="F19" s="88"/>
      <c r="G19" s="65"/>
    </row>
    <row r="20" spans="1:10" ht="18" customHeight="1">
      <c r="B20" s="75"/>
      <c r="C20" s="75"/>
      <c r="D20" s="75"/>
      <c r="E20" s="75"/>
      <c r="F20" s="88"/>
      <c r="G20" s="65"/>
    </row>
    <row r="21" spans="1:10" ht="18" customHeight="1">
      <c r="B21" s="75"/>
      <c r="C21" s="75"/>
      <c r="D21" s="75"/>
      <c r="E21" s="75"/>
      <c r="F21" s="88"/>
      <c r="G21" s="65"/>
    </row>
    <row r="22" spans="1:10" ht="18" customHeight="1">
      <c r="B22" s="75"/>
      <c r="C22" s="75"/>
      <c r="D22" s="75"/>
      <c r="E22" s="75"/>
      <c r="F22" s="88"/>
      <c r="G22" s="65"/>
    </row>
    <row r="23" spans="1:10" ht="27" customHeight="1">
      <c r="A23" s="503" t="s">
        <v>42</v>
      </c>
      <c r="B23" s="504"/>
      <c r="C23" s="504"/>
      <c r="D23" s="504"/>
      <c r="E23" s="504"/>
      <c r="F23" s="504"/>
      <c r="G23" s="504"/>
    </row>
    <row r="24" spans="1:10" ht="12" customHeight="1">
      <c r="A24" s="245"/>
      <c r="B24" s="246"/>
      <c r="C24" s="247"/>
      <c r="D24" s="246"/>
      <c r="E24" s="248"/>
      <c r="F24" s="246"/>
      <c r="G24" s="246"/>
    </row>
    <row r="25" spans="1:10" ht="27" customHeight="1">
      <c r="A25" s="503" t="s">
        <v>69</v>
      </c>
      <c r="B25" s="503"/>
      <c r="C25" s="503"/>
      <c r="D25" s="503"/>
      <c r="E25" s="503"/>
      <c r="F25" s="503"/>
      <c r="G25" s="503"/>
    </row>
    <row r="26" spans="1:10" ht="20.25" customHeight="1">
      <c r="A26" s="332"/>
      <c r="B26" s="332"/>
      <c r="C26" s="332"/>
      <c r="D26" s="332"/>
      <c r="E26" s="332"/>
      <c r="F26" s="332"/>
      <c r="G26" s="332"/>
    </row>
    <row r="27" spans="1:10" ht="12.75" customHeight="1">
      <c r="A27" s="249"/>
      <c r="B27" s="249"/>
      <c r="C27" s="250"/>
      <c r="D27" s="251"/>
      <c r="E27" s="252"/>
      <c r="F27" s="249"/>
      <c r="G27" s="249"/>
    </row>
    <row r="28" spans="1:10" s="182" customFormat="1" ht="15.75">
      <c r="A28" s="237" t="s">
        <v>205</v>
      </c>
      <c r="B28" s="238"/>
      <c r="C28" s="239"/>
      <c r="D28" s="239"/>
      <c r="E28" s="240"/>
      <c r="F28" s="240" t="s">
        <v>0</v>
      </c>
      <c r="G28" s="241">
        <f>+G30+G43+G65+G87</f>
        <v>17371.5</v>
      </c>
      <c r="H28" s="208"/>
    </row>
    <row r="29" spans="1:10" s="182" customFormat="1" ht="15.75">
      <c r="A29" s="226"/>
      <c r="B29" s="223"/>
      <c r="C29" s="212"/>
      <c r="D29" s="212"/>
      <c r="E29" s="213"/>
      <c r="F29" s="213"/>
      <c r="G29" s="214"/>
      <c r="H29" s="208"/>
      <c r="I29" s="184"/>
    </row>
    <row r="30" spans="1:10" ht="18" customHeight="1">
      <c r="A30" s="215">
        <v>1.01</v>
      </c>
      <c r="B30" s="216" t="s">
        <v>11</v>
      </c>
      <c r="C30" s="217"/>
      <c r="D30" s="217"/>
      <c r="E30" s="219"/>
      <c r="F30" s="220" t="s">
        <v>0</v>
      </c>
      <c r="G30" s="221">
        <f>+G32</f>
        <v>12000</v>
      </c>
      <c r="I30" s="253"/>
    </row>
    <row r="31" spans="1:10" ht="12.75" customHeight="1">
      <c r="A31" s="89"/>
      <c r="B31" s="90"/>
      <c r="C31" s="85"/>
      <c r="D31" s="85"/>
      <c r="E31" s="86"/>
      <c r="F31" s="85"/>
      <c r="G31" s="85"/>
    </row>
    <row r="32" spans="1:10" ht="12.75" customHeight="1">
      <c r="A32" s="91" t="s">
        <v>12</v>
      </c>
      <c r="B32" s="92" t="s">
        <v>13</v>
      </c>
      <c r="C32" s="85"/>
      <c r="D32" s="85"/>
      <c r="E32" s="86"/>
      <c r="F32" s="129" t="s">
        <v>0</v>
      </c>
      <c r="G32" s="130">
        <f>+F40</f>
        <v>12000</v>
      </c>
    </row>
    <row r="33" spans="1:9" ht="12.75" customHeight="1">
      <c r="A33" s="93"/>
      <c r="B33" s="78"/>
      <c r="C33" s="85"/>
      <c r="D33" s="85"/>
      <c r="E33" s="86"/>
      <c r="F33" s="85"/>
      <c r="G33" s="85"/>
    </row>
    <row r="34" spans="1:9" ht="12.75" customHeight="1">
      <c r="A34" s="64"/>
      <c r="B34" s="92" t="s">
        <v>44</v>
      </c>
      <c r="C34" s="78"/>
      <c r="D34" s="78"/>
      <c r="E34" s="94"/>
      <c r="F34" s="78"/>
      <c r="G34" s="85"/>
    </row>
    <row r="35" spans="1:9" ht="12.75" customHeight="1">
      <c r="A35" s="64"/>
      <c r="B35" s="92"/>
      <c r="C35" s="78"/>
      <c r="D35" s="78"/>
      <c r="E35" s="94"/>
      <c r="F35" s="78"/>
      <c r="G35" s="85"/>
    </row>
    <row r="36" spans="1:9" ht="12.75" customHeight="1">
      <c r="A36" s="93"/>
      <c r="B36" s="95" t="s">
        <v>45</v>
      </c>
      <c r="C36" s="96" t="s">
        <v>46</v>
      </c>
      <c r="D36" s="96" t="s">
        <v>47</v>
      </c>
      <c r="E36" s="96" t="s">
        <v>14</v>
      </c>
      <c r="F36" s="96" t="s">
        <v>4</v>
      </c>
      <c r="G36" s="98" t="s">
        <v>364</v>
      </c>
      <c r="I36" s="254"/>
    </row>
    <row r="37" spans="1:9" ht="12.75" customHeight="1">
      <c r="A37" s="64"/>
      <c r="B37" s="117" t="s">
        <v>328</v>
      </c>
      <c r="C37" s="99">
        <v>1</v>
      </c>
      <c r="D37" s="99">
        <v>2</v>
      </c>
      <c r="E37" s="99">
        <v>6000</v>
      </c>
      <c r="F37" s="98">
        <f>+C37*D37*E37</f>
        <v>12000</v>
      </c>
      <c r="G37" s="510" t="s">
        <v>365</v>
      </c>
    </row>
    <row r="38" spans="1:9" ht="12.75" customHeight="1">
      <c r="A38" s="64"/>
      <c r="B38" s="117" t="s">
        <v>320</v>
      </c>
      <c r="C38" s="99">
        <v>1</v>
      </c>
      <c r="D38" s="99">
        <v>0</v>
      </c>
      <c r="E38" s="99">
        <v>3000</v>
      </c>
      <c r="F38" s="98">
        <f>+C38*D38*E38</f>
        <v>0</v>
      </c>
      <c r="G38" s="511"/>
    </row>
    <row r="39" spans="1:9" ht="12.75" customHeight="1">
      <c r="A39" s="64"/>
      <c r="B39" s="117" t="s">
        <v>327</v>
      </c>
      <c r="C39" s="99">
        <v>1</v>
      </c>
      <c r="D39" s="99">
        <v>0</v>
      </c>
      <c r="E39" s="99">
        <v>2400</v>
      </c>
      <c r="F39" s="98">
        <f>+C39*D39*E39</f>
        <v>0</v>
      </c>
      <c r="G39" s="512"/>
    </row>
    <row r="40" spans="1:9" ht="12.75" customHeight="1">
      <c r="A40" s="67"/>
      <c r="B40" s="490" t="s">
        <v>3</v>
      </c>
      <c r="C40" s="490"/>
      <c r="D40" s="490"/>
      <c r="E40" s="490"/>
      <c r="F40" s="259">
        <f>SUM(F37:F39)</f>
        <v>12000</v>
      </c>
      <c r="G40" s="78"/>
    </row>
    <row r="41" spans="1:9" ht="12.75" customHeight="1">
      <c r="A41" s="64"/>
      <c r="B41" s="85"/>
      <c r="C41" s="85"/>
      <c r="D41" s="85"/>
      <c r="E41" s="86"/>
      <c r="F41" s="85" t="s">
        <v>210</v>
      </c>
      <c r="G41" s="85"/>
    </row>
    <row r="42" spans="1:9" ht="15.75" customHeight="1">
      <c r="A42" s="64"/>
      <c r="B42" s="85"/>
      <c r="C42" s="85"/>
      <c r="D42" s="85"/>
      <c r="E42" s="86"/>
      <c r="F42" s="85"/>
      <c r="G42" s="85"/>
    </row>
    <row r="43" spans="1:9" ht="18" customHeight="1">
      <c r="A43" s="215"/>
      <c r="B43" s="216" t="s">
        <v>20</v>
      </c>
      <c r="C43" s="217"/>
      <c r="D43" s="217"/>
      <c r="E43" s="219"/>
      <c r="F43" s="220" t="s">
        <v>0</v>
      </c>
      <c r="G43" s="221">
        <f>+G45+G55</f>
        <v>1371.5</v>
      </c>
    </row>
    <row r="44" spans="1:9" ht="12.75" customHeight="1">
      <c r="A44" s="89"/>
      <c r="B44" s="90"/>
      <c r="C44" s="85"/>
      <c r="D44" s="85"/>
      <c r="E44" s="86"/>
      <c r="F44" s="85"/>
      <c r="G44" s="85"/>
      <c r="H44" s="189"/>
    </row>
    <row r="45" spans="1:9" ht="12.75" customHeight="1">
      <c r="A45" s="91" t="s">
        <v>12</v>
      </c>
      <c r="B45" s="92" t="s">
        <v>139</v>
      </c>
      <c r="C45" s="85"/>
      <c r="D45" s="85"/>
      <c r="E45" s="86"/>
      <c r="F45" s="129" t="s">
        <v>0</v>
      </c>
      <c r="G45" s="130">
        <f>+F53</f>
        <v>1170</v>
      </c>
    </row>
    <row r="46" spans="1:9" ht="12.75" customHeight="1">
      <c r="A46" s="91"/>
      <c r="B46" s="92"/>
      <c r="C46" s="85"/>
      <c r="D46" s="85"/>
      <c r="E46" s="86"/>
      <c r="F46" s="85"/>
      <c r="G46" s="85"/>
    </row>
    <row r="47" spans="1:9" ht="12.75" customHeight="1">
      <c r="A47" s="93"/>
      <c r="B47" s="92" t="s">
        <v>44</v>
      </c>
      <c r="C47" s="78"/>
      <c r="D47" s="78"/>
      <c r="E47" s="94"/>
      <c r="F47" s="85"/>
      <c r="G47" s="85"/>
    </row>
    <row r="48" spans="1:9" ht="12.75" customHeight="1">
      <c r="A48" s="93"/>
      <c r="B48" s="92"/>
      <c r="C48" s="78"/>
      <c r="D48" s="78"/>
      <c r="E48" s="94"/>
      <c r="F48" s="85"/>
      <c r="G48" s="85"/>
    </row>
    <row r="49" spans="1:7" ht="12.75" customHeight="1">
      <c r="A49" s="64"/>
      <c r="B49" s="95" t="s">
        <v>45</v>
      </c>
      <c r="C49" s="96" t="s">
        <v>46</v>
      </c>
      <c r="D49" s="96" t="s">
        <v>47</v>
      </c>
      <c r="E49" s="96" t="s">
        <v>14</v>
      </c>
      <c r="F49" s="96" t="s">
        <v>4</v>
      </c>
      <c r="G49" s="85"/>
    </row>
    <row r="50" spans="1:7" ht="12.75" customHeight="1">
      <c r="A50" s="64"/>
      <c r="B50" s="117" t="str">
        <f t="shared" ref="B50:D52" si="0">+B37</f>
        <v>SUPERVISOR DE OBRA</v>
      </c>
      <c r="C50" s="99">
        <f t="shared" si="0"/>
        <v>1</v>
      </c>
      <c r="D50" s="99">
        <v>2</v>
      </c>
      <c r="E50" s="99">
        <f>+(E37+E82)*0.09</f>
        <v>585</v>
      </c>
      <c r="F50" s="98">
        <f>+C50*D50*E50</f>
        <v>1170</v>
      </c>
      <c r="G50" s="85"/>
    </row>
    <row r="51" spans="1:7" ht="12.75" customHeight="1">
      <c r="A51" s="64"/>
      <c r="B51" s="117" t="str">
        <f t="shared" si="0"/>
        <v>ASISTENTE TECNICO</v>
      </c>
      <c r="C51" s="99">
        <f t="shared" si="0"/>
        <v>1</v>
      </c>
      <c r="D51" s="99">
        <f t="shared" si="0"/>
        <v>0</v>
      </c>
      <c r="E51" s="99">
        <f t="shared" ref="E51:E52" si="1">+(E38+E83)*0.09</f>
        <v>292.5</v>
      </c>
      <c r="F51" s="98">
        <f>+C51*D51*E51</f>
        <v>0</v>
      </c>
      <c r="G51" s="85"/>
    </row>
    <row r="52" spans="1:7" ht="12.75" customHeight="1">
      <c r="A52" s="64"/>
      <c r="B52" s="117" t="str">
        <f t="shared" si="0"/>
        <v>ASISTENTE ADMINISTRATIVO</v>
      </c>
      <c r="C52" s="99">
        <f t="shared" si="0"/>
        <v>1</v>
      </c>
      <c r="D52" s="99">
        <f t="shared" si="0"/>
        <v>0</v>
      </c>
      <c r="E52" s="99">
        <f t="shared" si="1"/>
        <v>234</v>
      </c>
      <c r="F52" s="98">
        <f>+C52*D52*E52</f>
        <v>0</v>
      </c>
      <c r="G52" s="85"/>
    </row>
    <row r="53" spans="1:7" ht="12.75" customHeight="1">
      <c r="A53" s="64"/>
      <c r="B53" s="500" t="s">
        <v>3</v>
      </c>
      <c r="C53" s="500"/>
      <c r="D53" s="500"/>
      <c r="E53" s="500"/>
      <c r="F53" s="259">
        <f>SUM(F50:F52)</f>
        <v>1170</v>
      </c>
      <c r="G53" s="85"/>
    </row>
    <row r="54" spans="1:7" ht="13.5" customHeight="1">
      <c r="A54" s="64"/>
      <c r="B54" s="101"/>
      <c r="C54" s="101"/>
      <c r="D54" s="101"/>
      <c r="E54" s="86"/>
      <c r="F54" s="85"/>
      <c r="G54" s="85"/>
    </row>
    <row r="55" spans="1:7" ht="12.75" customHeight="1">
      <c r="A55" s="102" t="s">
        <v>15</v>
      </c>
      <c r="B55" s="92" t="s">
        <v>85</v>
      </c>
      <c r="C55" s="85"/>
      <c r="D55" s="85"/>
      <c r="E55" s="86"/>
      <c r="F55" s="129" t="s">
        <v>0</v>
      </c>
      <c r="G55" s="130">
        <f>+F63</f>
        <v>201.5</v>
      </c>
    </row>
    <row r="56" spans="1:7" ht="12.75" customHeight="1">
      <c r="A56" s="91"/>
      <c r="B56" s="92"/>
      <c r="C56" s="85"/>
      <c r="D56" s="85"/>
      <c r="E56" s="86"/>
      <c r="F56" s="85"/>
      <c r="G56" s="85"/>
    </row>
    <row r="57" spans="1:7" ht="12.75" customHeight="1">
      <c r="A57" s="64"/>
      <c r="B57" s="92" t="s">
        <v>44</v>
      </c>
      <c r="C57" s="78"/>
      <c r="D57" s="78"/>
      <c r="E57" s="94"/>
      <c r="F57" s="85"/>
      <c r="G57" s="85"/>
    </row>
    <row r="58" spans="1:7" ht="12.75" customHeight="1">
      <c r="A58" s="64"/>
      <c r="B58" s="92"/>
      <c r="C58" s="78"/>
      <c r="D58" s="78"/>
      <c r="E58" s="94"/>
      <c r="F58" s="85"/>
      <c r="G58" s="85"/>
    </row>
    <row r="59" spans="1:7" ht="12.75" customHeight="1">
      <c r="A59" s="64"/>
      <c r="B59" s="95" t="s">
        <v>45</v>
      </c>
      <c r="C59" s="96" t="s">
        <v>46</v>
      </c>
      <c r="D59" s="96" t="s">
        <v>47</v>
      </c>
      <c r="E59" s="96" t="s">
        <v>14</v>
      </c>
      <c r="F59" s="96" t="s">
        <v>4</v>
      </c>
      <c r="G59" s="85"/>
    </row>
    <row r="60" spans="1:7" ht="12.75" customHeight="1">
      <c r="A60" s="64"/>
      <c r="B60" s="117" t="str">
        <f t="shared" ref="B60:C62" si="2">+B37</f>
        <v>SUPERVISOR DE OBRA</v>
      </c>
      <c r="C60" s="99">
        <f t="shared" si="2"/>
        <v>1</v>
      </c>
      <c r="D60" s="99">
        <f>+D50</f>
        <v>2</v>
      </c>
      <c r="E60" s="99">
        <f>+(E37+E82)*0.0155</f>
        <v>100.75</v>
      </c>
      <c r="F60" s="97">
        <f>+C60*D60*E60</f>
        <v>201.5</v>
      </c>
      <c r="G60" s="85"/>
    </row>
    <row r="61" spans="1:7" ht="12.75" customHeight="1">
      <c r="A61" s="64"/>
      <c r="B61" s="117" t="str">
        <f t="shared" si="2"/>
        <v>ASISTENTE TECNICO</v>
      </c>
      <c r="C61" s="99">
        <f t="shared" si="2"/>
        <v>1</v>
      </c>
      <c r="D61" s="99">
        <f>+D51</f>
        <v>0</v>
      </c>
      <c r="E61" s="99">
        <f t="shared" ref="E61:E62" si="3">+(E38+E83)*0.0155</f>
        <v>50.375</v>
      </c>
      <c r="F61" s="98">
        <f>+C61*D61*E61</f>
        <v>0</v>
      </c>
      <c r="G61" s="85"/>
    </row>
    <row r="62" spans="1:7" ht="12.75" customHeight="1">
      <c r="A62" s="64"/>
      <c r="B62" s="117" t="str">
        <f t="shared" si="2"/>
        <v>ASISTENTE ADMINISTRATIVO</v>
      </c>
      <c r="C62" s="99">
        <f t="shared" si="2"/>
        <v>1</v>
      </c>
      <c r="D62" s="99">
        <f>+D52</f>
        <v>0</v>
      </c>
      <c r="E62" s="99">
        <f t="shared" si="3"/>
        <v>40.299999999999997</v>
      </c>
      <c r="F62" s="98">
        <f>+C62*D62*E62</f>
        <v>0</v>
      </c>
      <c r="G62" s="85"/>
    </row>
    <row r="63" spans="1:7" ht="12.75" customHeight="1">
      <c r="A63" s="64"/>
      <c r="B63" s="486" t="s">
        <v>3</v>
      </c>
      <c r="C63" s="486"/>
      <c r="D63" s="486"/>
      <c r="E63" s="486"/>
      <c r="F63" s="259">
        <f>SUM(F60:F62)</f>
        <v>201.5</v>
      </c>
      <c r="G63" s="85"/>
    </row>
    <row r="64" spans="1:7" ht="12.75" customHeight="1">
      <c r="A64" s="64"/>
      <c r="B64" s="101"/>
      <c r="C64" s="85"/>
      <c r="D64" s="101"/>
      <c r="E64" s="86"/>
      <c r="F64" s="85"/>
      <c r="G64" s="85"/>
    </row>
    <row r="65" spans="1:8" ht="18" customHeight="1">
      <c r="A65" s="215"/>
      <c r="B65" s="216" t="s">
        <v>22</v>
      </c>
      <c r="C65" s="217"/>
      <c r="D65" s="217"/>
      <c r="E65" s="219"/>
      <c r="F65" s="220" t="s">
        <v>0</v>
      </c>
      <c r="G65" s="221">
        <f>+G67+G77</f>
        <v>2000</v>
      </c>
    </row>
    <row r="66" spans="1:8" ht="12.75" customHeight="1">
      <c r="A66" s="91"/>
      <c r="B66" s="92"/>
      <c r="C66" s="85"/>
      <c r="D66" s="85"/>
      <c r="E66" s="86"/>
      <c r="F66" s="85"/>
      <c r="G66" s="85"/>
      <c r="H66" s="189"/>
    </row>
    <row r="67" spans="1:8" ht="12.75" customHeight="1">
      <c r="A67" s="102" t="s">
        <v>12</v>
      </c>
      <c r="B67" s="92" t="s">
        <v>142</v>
      </c>
      <c r="C67" s="85"/>
      <c r="D67" s="85"/>
      <c r="E67" s="86"/>
      <c r="F67" s="129" t="s">
        <v>0</v>
      </c>
      <c r="G67" s="130">
        <f>+F75</f>
        <v>1000</v>
      </c>
    </row>
    <row r="68" spans="1:8" ht="12.75" customHeight="1">
      <c r="A68" s="93"/>
      <c r="B68" s="103"/>
      <c r="C68" s="85"/>
      <c r="D68" s="85"/>
      <c r="E68" s="86"/>
      <c r="F68" s="85"/>
      <c r="G68" s="85"/>
    </row>
    <row r="69" spans="1:8" ht="12.75" customHeight="1">
      <c r="A69" s="64"/>
      <c r="B69" s="92" t="s">
        <v>44</v>
      </c>
      <c r="C69" s="78"/>
      <c r="D69" s="78"/>
      <c r="E69" s="94"/>
      <c r="F69" s="78"/>
      <c r="G69" s="85"/>
    </row>
    <row r="70" spans="1:8" ht="12.75" customHeight="1">
      <c r="A70" s="64"/>
      <c r="B70" s="92"/>
      <c r="C70" s="78"/>
      <c r="D70" s="78"/>
      <c r="E70" s="94"/>
      <c r="F70" s="78"/>
      <c r="G70" s="85"/>
    </row>
    <row r="71" spans="1:8" ht="12.75" customHeight="1">
      <c r="A71" s="64"/>
      <c r="B71" s="95" t="s">
        <v>45</v>
      </c>
      <c r="C71" s="96" t="s">
        <v>46</v>
      </c>
      <c r="D71" s="96" t="s">
        <v>47</v>
      </c>
      <c r="E71" s="96" t="s">
        <v>14</v>
      </c>
      <c r="F71" s="96" t="s">
        <v>4</v>
      </c>
      <c r="G71" s="85"/>
    </row>
    <row r="72" spans="1:8" ht="12.75" customHeight="1">
      <c r="A72" s="67"/>
      <c r="B72" s="117" t="str">
        <f>+B37</f>
        <v>SUPERVISOR DE OBRA</v>
      </c>
      <c r="C72" s="99">
        <f>+C37</f>
        <v>1</v>
      </c>
      <c r="D72" s="99">
        <f>+D60</f>
        <v>2</v>
      </c>
      <c r="E72" s="99">
        <f>+E37/12</f>
        <v>500</v>
      </c>
      <c r="F72" s="97">
        <f>+C72*D72*E72</f>
        <v>1000</v>
      </c>
      <c r="G72" s="85"/>
    </row>
    <row r="73" spans="1:8" ht="12.75" customHeight="1">
      <c r="A73" s="64"/>
      <c r="B73" s="117" t="str">
        <f>+B38</f>
        <v>ASISTENTE TECNICO</v>
      </c>
      <c r="C73" s="99">
        <f>+C38</f>
        <v>1</v>
      </c>
      <c r="D73" s="99">
        <f>+D61</f>
        <v>0</v>
      </c>
      <c r="E73" s="99">
        <f>+E38/12</f>
        <v>250</v>
      </c>
      <c r="F73" s="98">
        <f>+C73*D73*E73</f>
        <v>0</v>
      </c>
      <c r="G73" s="85"/>
    </row>
    <row r="74" spans="1:8" ht="12.75" customHeight="1">
      <c r="A74" s="64"/>
      <c r="B74" s="117" t="str">
        <f>+B62</f>
        <v>ASISTENTE ADMINISTRATIVO</v>
      </c>
      <c r="C74" s="99">
        <f>+C51</f>
        <v>1</v>
      </c>
      <c r="D74" s="99">
        <f>+D62</f>
        <v>0</v>
      </c>
      <c r="E74" s="99">
        <f>+E39/12</f>
        <v>200</v>
      </c>
      <c r="F74" s="98">
        <f>+C74*D74*E74</f>
        <v>0</v>
      </c>
      <c r="G74" s="85"/>
    </row>
    <row r="75" spans="1:8" ht="12.75" customHeight="1">
      <c r="A75" s="64"/>
      <c r="B75" s="506" t="s">
        <v>3</v>
      </c>
      <c r="C75" s="506"/>
      <c r="D75" s="506"/>
      <c r="E75" s="506"/>
      <c r="F75" s="259">
        <f>SUM(F72:F74)</f>
        <v>1000</v>
      </c>
      <c r="G75" s="85"/>
    </row>
    <row r="76" spans="1:8" ht="12.75" customHeight="1">
      <c r="A76" s="91"/>
      <c r="B76" s="92"/>
      <c r="C76" s="85"/>
      <c r="D76" s="85"/>
      <c r="E76" s="86"/>
      <c r="F76" s="85"/>
      <c r="G76" s="85"/>
    </row>
    <row r="77" spans="1:8" ht="12.75" customHeight="1">
      <c r="A77" s="102" t="s">
        <v>15</v>
      </c>
      <c r="B77" s="92" t="s">
        <v>141</v>
      </c>
      <c r="C77" s="85"/>
      <c r="D77" s="85"/>
      <c r="E77" s="86"/>
      <c r="F77" s="129" t="s">
        <v>0</v>
      </c>
      <c r="G77" s="130">
        <f>+F85</f>
        <v>1000</v>
      </c>
    </row>
    <row r="78" spans="1:8" ht="12.75" customHeight="1">
      <c r="A78" s="93"/>
      <c r="B78" s="103"/>
      <c r="C78" s="85"/>
      <c r="D78" s="85"/>
      <c r="E78" s="86"/>
      <c r="F78" s="85"/>
      <c r="G78" s="85"/>
    </row>
    <row r="79" spans="1:8" ht="12.75" customHeight="1">
      <c r="A79" s="64"/>
      <c r="B79" s="92" t="s">
        <v>44</v>
      </c>
      <c r="C79" s="78"/>
      <c r="D79" s="78"/>
      <c r="E79" s="94"/>
      <c r="F79" s="78"/>
      <c r="G79" s="85"/>
    </row>
    <row r="80" spans="1:8" ht="12.75" customHeight="1">
      <c r="A80" s="64"/>
      <c r="B80" s="92"/>
      <c r="C80" s="78"/>
      <c r="D80" s="78"/>
      <c r="E80" s="94"/>
      <c r="F80" s="78"/>
      <c r="G80" s="85"/>
    </row>
    <row r="81" spans="1:7" ht="12.75" customHeight="1">
      <c r="A81" s="64"/>
      <c r="B81" s="95" t="s">
        <v>45</v>
      </c>
      <c r="C81" s="96" t="s">
        <v>46</v>
      </c>
      <c r="D81" s="96" t="s">
        <v>47</v>
      </c>
      <c r="E81" s="96" t="s">
        <v>14</v>
      </c>
      <c r="F81" s="96" t="s">
        <v>4</v>
      </c>
      <c r="G81" s="85"/>
    </row>
    <row r="82" spans="1:7" ht="12.75" customHeight="1">
      <c r="A82" s="67"/>
      <c r="B82" s="117" t="str">
        <f t="shared" ref="B82:C84" si="4">+B37</f>
        <v>SUPERVISOR DE OBRA</v>
      </c>
      <c r="C82" s="99">
        <f t="shared" si="4"/>
        <v>1</v>
      </c>
      <c r="D82" s="99">
        <f>+D72</f>
        <v>2</v>
      </c>
      <c r="E82" s="99">
        <f>+E37/12</f>
        <v>500</v>
      </c>
      <c r="F82" s="97">
        <f>+C82*D82*E82</f>
        <v>1000</v>
      </c>
      <c r="G82" s="85"/>
    </row>
    <row r="83" spans="1:7" ht="12.75" customHeight="1">
      <c r="A83" s="64"/>
      <c r="B83" s="117" t="str">
        <f t="shared" si="4"/>
        <v>ASISTENTE TECNICO</v>
      </c>
      <c r="C83" s="99">
        <f t="shared" si="4"/>
        <v>1</v>
      </c>
      <c r="D83" s="99">
        <f>+D73</f>
        <v>0</v>
      </c>
      <c r="E83" s="99">
        <f>+E38/12</f>
        <v>250</v>
      </c>
      <c r="F83" s="98">
        <f>+C83*D83*E83</f>
        <v>0</v>
      </c>
      <c r="G83" s="85"/>
    </row>
    <row r="84" spans="1:7" ht="12.75" customHeight="1">
      <c r="A84" s="64"/>
      <c r="B84" s="117" t="str">
        <f t="shared" si="4"/>
        <v>ASISTENTE ADMINISTRATIVO</v>
      </c>
      <c r="C84" s="99">
        <f t="shared" si="4"/>
        <v>1</v>
      </c>
      <c r="D84" s="99">
        <f>+D74</f>
        <v>0</v>
      </c>
      <c r="E84" s="99">
        <f>+E39/12</f>
        <v>200</v>
      </c>
      <c r="F84" s="98">
        <f>+C84*D84*E84</f>
        <v>0</v>
      </c>
      <c r="G84" s="85"/>
    </row>
    <row r="85" spans="1:7" ht="12.75" customHeight="1">
      <c r="A85" s="64"/>
      <c r="B85" s="506" t="s">
        <v>3</v>
      </c>
      <c r="C85" s="506"/>
      <c r="D85" s="506"/>
      <c r="E85" s="506"/>
      <c r="F85" s="259">
        <f>SUM(F82:F84)</f>
        <v>1000</v>
      </c>
      <c r="G85" s="85"/>
    </row>
    <row r="86" spans="1:7" ht="12.75" customHeight="1">
      <c r="A86" s="91"/>
      <c r="B86" s="92"/>
      <c r="C86" s="85"/>
      <c r="D86" s="85"/>
      <c r="E86" s="86"/>
      <c r="F86" s="85"/>
      <c r="G86" s="85"/>
    </row>
    <row r="87" spans="1:7" ht="18" customHeight="1">
      <c r="A87" s="215">
        <v>4</v>
      </c>
      <c r="B87" s="228" t="s">
        <v>267</v>
      </c>
      <c r="C87" s="217"/>
      <c r="D87" s="217"/>
      <c r="E87" s="219"/>
      <c r="F87" s="220" t="s">
        <v>0</v>
      </c>
      <c r="G87" s="221">
        <f>+G89</f>
        <v>2000</v>
      </c>
    </row>
    <row r="88" spans="1:7" ht="12.75" customHeight="1">
      <c r="A88" s="91"/>
      <c r="B88" s="92"/>
      <c r="C88" s="85"/>
      <c r="D88" s="85"/>
      <c r="E88" s="86"/>
      <c r="F88" s="85"/>
      <c r="G88" s="85"/>
    </row>
    <row r="89" spans="1:7" ht="14.25" customHeight="1">
      <c r="A89" s="91">
        <v>4.01</v>
      </c>
      <c r="B89" s="92" t="s">
        <v>140</v>
      </c>
      <c r="C89" s="78"/>
      <c r="D89" s="78"/>
      <c r="E89" s="94"/>
      <c r="F89" s="129" t="s">
        <v>0</v>
      </c>
      <c r="G89" s="130">
        <f>+F97</f>
        <v>2000</v>
      </c>
    </row>
    <row r="90" spans="1:7" ht="12.75" customHeight="1">
      <c r="A90" s="102"/>
      <c r="B90" s="92"/>
      <c r="C90" s="78"/>
      <c r="D90" s="78"/>
      <c r="E90" s="94"/>
      <c r="F90" s="78"/>
      <c r="G90" s="85"/>
    </row>
    <row r="91" spans="1:7" ht="12.75" customHeight="1">
      <c r="A91" s="102"/>
      <c r="B91" s="92" t="s">
        <v>44</v>
      </c>
      <c r="C91" s="78"/>
      <c r="D91" s="78"/>
      <c r="E91" s="94"/>
      <c r="F91" s="78"/>
      <c r="G91" s="85"/>
    </row>
    <row r="92" spans="1:7" ht="14.25" customHeight="1">
      <c r="A92" s="64"/>
      <c r="B92" s="92"/>
      <c r="C92" s="78"/>
      <c r="D92" s="78"/>
      <c r="E92" s="94"/>
      <c r="F92" s="78"/>
      <c r="G92" s="85"/>
    </row>
    <row r="93" spans="1:7" ht="14.25" customHeight="1">
      <c r="A93" s="64"/>
      <c r="B93" s="95" t="s">
        <v>45</v>
      </c>
      <c r="C93" s="96" t="s">
        <v>46</v>
      </c>
      <c r="D93" s="96" t="s">
        <v>47</v>
      </c>
      <c r="E93" s="96" t="s">
        <v>14</v>
      </c>
      <c r="F93" s="96" t="s">
        <v>4</v>
      </c>
      <c r="G93" s="85"/>
    </row>
    <row r="94" spans="1:7" ht="14.25" customHeight="1">
      <c r="A94" s="64"/>
      <c r="B94" s="117" t="str">
        <f t="shared" ref="B94:D96" si="5">+B37</f>
        <v>SUPERVISOR DE OBRA</v>
      </c>
      <c r="C94" s="99">
        <f t="shared" si="5"/>
        <v>1</v>
      </c>
      <c r="D94" s="99">
        <f t="shared" si="5"/>
        <v>2</v>
      </c>
      <c r="E94" s="99">
        <f>+E37/12*2</f>
        <v>1000</v>
      </c>
      <c r="F94" s="97">
        <f>+C94*D94*E94</f>
        <v>2000</v>
      </c>
      <c r="G94" s="85"/>
    </row>
    <row r="95" spans="1:7" ht="12.75" customHeight="1">
      <c r="A95" s="64"/>
      <c r="B95" s="117" t="str">
        <f t="shared" si="5"/>
        <v>ASISTENTE TECNICO</v>
      </c>
      <c r="C95" s="99">
        <f t="shared" si="5"/>
        <v>1</v>
      </c>
      <c r="D95" s="99">
        <f t="shared" si="5"/>
        <v>0</v>
      </c>
      <c r="E95" s="99">
        <f>+E38/12*2</f>
        <v>500</v>
      </c>
      <c r="F95" s="98">
        <f>+C95*D95*E95</f>
        <v>0</v>
      </c>
      <c r="G95" s="85"/>
    </row>
    <row r="96" spans="1:7" ht="12.75" customHeight="1">
      <c r="A96" s="64"/>
      <c r="B96" s="117" t="str">
        <f t="shared" si="5"/>
        <v>ASISTENTE ADMINISTRATIVO</v>
      </c>
      <c r="C96" s="99">
        <f t="shared" si="5"/>
        <v>1</v>
      </c>
      <c r="D96" s="99">
        <f t="shared" si="5"/>
        <v>0</v>
      </c>
      <c r="E96" s="99">
        <f>+E39/12*2</f>
        <v>400</v>
      </c>
      <c r="F96" s="98">
        <f>+C96*D96*E96</f>
        <v>0</v>
      </c>
      <c r="G96" s="85"/>
    </row>
    <row r="97" spans="1:8" ht="14.25" customHeight="1">
      <c r="A97" s="67"/>
      <c r="B97" s="507" t="s">
        <v>3</v>
      </c>
      <c r="C97" s="508"/>
      <c r="D97" s="508"/>
      <c r="E97" s="509"/>
      <c r="F97" s="259">
        <f>SUM(F94:F96)</f>
        <v>2000</v>
      </c>
      <c r="G97" s="85"/>
    </row>
    <row r="98" spans="1:8" ht="14.25" customHeight="1">
      <c r="A98" s="64"/>
      <c r="B98" s="85"/>
      <c r="C98" s="85"/>
      <c r="D98" s="85"/>
      <c r="E98" s="86"/>
      <c r="F98" s="85"/>
      <c r="G98" s="85"/>
    </row>
    <row r="99" spans="1:8" ht="12.75" customHeight="1">
      <c r="A99" s="64"/>
      <c r="B99" s="105"/>
      <c r="C99" s="85"/>
      <c r="D99" s="101"/>
      <c r="E99" s="86"/>
      <c r="F99" s="85"/>
      <c r="G99" s="85"/>
    </row>
    <row r="100" spans="1:8" s="182" customFormat="1" ht="15.75">
      <c r="A100" s="242" t="s">
        <v>206</v>
      </c>
      <c r="B100" s="243"/>
      <c r="C100" s="239"/>
      <c r="D100" s="239"/>
      <c r="E100" s="240"/>
      <c r="F100" s="240" t="s">
        <v>0</v>
      </c>
      <c r="G100" s="241">
        <f>+G101+G108</f>
        <v>5590</v>
      </c>
      <c r="H100" s="208"/>
    </row>
    <row r="101" spans="1:8" ht="15.75" customHeight="1">
      <c r="A101" s="83">
        <v>1</v>
      </c>
      <c r="B101" s="84" t="s">
        <v>40</v>
      </c>
      <c r="C101" s="85"/>
      <c r="D101" s="85"/>
      <c r="E101" s="86"/>
      <c r="F101" s="87" t="s">
        <v>0</v>
      </c>
      <c r="G101" s="88">
        <f>F106</f>
        <v>285</v>
      </c>
    </row>
    <row r="102" spans="1:8" ht="12.75" customHeight="1">
      <c r="A102" s="91"/>
      <c r="B102" s="92"/>
      <c r="C102" s="85"/>
      <c r="D102" s="85"/>
      <c r="E102" s="86"/>
      <c r="F102" s="85"/>
      <c r="G102" s="85"/>
      <c r="H102" s="189"/>
    </row>
    <row r="103" spans="1:8" ht="12.75" customHeight="1">
      <c r="A103" s="64"/>
      <c r="B103" s="134" t="s">
        <v>24</v>
      </c>
      <c r="C103" s="134" t="s">
        <v>2</v>
      </c>
      <c r="D103" s="134" t="s">
        <v>25</v>
      </c>
      <c r="E103" s="134" t="s">
        <v>5</v>
      </c>
      <c r="F103" s="134" t="s">
        <v>4</v>
      </c>
      <c r="G103" s="118"/>
    </row>
    <row r="104" spans="1:8" ht="13.5" customHeight="1">
      <c r="A104" s="51"/>
      <c r="B104" s="116" t="s">
        <v>120</v>
      </c>
      <c r="C104" s="99" t="s">
        <v>8</v>
      </c>
      <c r="D104" s="108">
        <v>1</v>
      </c>
      <c r="E104" s="109">
        <v>250</v>
      </c>
      <c r="F104" s="1">
        <f>+D104*E104</f>
        <v>250</v>
      </c>
      <c r="G104" s="32"/>
    </row>
    <row r="105" spans="1:8" ht="12.75" customHeight="1">
      <c r="A105" s="64"/>
      <c r="B105" s="114" t="s">
        <v>108</v>
      </c>
      <c r="C105" s="100" t="s">
        <v>2</v>
      </c>
      <c r="D105" s="104">
        <v>1</v>
      </c>
      <c r="E105" s="104">
        <v>35</v>
      </c>
      <c r="F105" s="10">
        <f>+D105*E105</f>
        <v>35</v>
      </c>
      <c r="G105" s="103"/>
    </row>
    <row r="106" spans="1:8" ht="12.75" customHeight="1">
      <c r="A106" s="64"/>
      <c r="B106" s="486" t="s">
        <v>3</v>
      </c>
      <c r="C106" s="486"/>
      <c r="D106" s="486"/>
      <c r="E106" s="486"/>
      <c r="F106" s="135">
        <f>SUM(F104:F105)</f>
        <v>285</v>
      </c>
      <c r="G106" s="103"/>
    </row>
    <row r="107" spans="1:8" ht="12.75" customHeight="1">
      <c r="A107" s="64"/>
      <c r="B107" s="118"/>
      <c r="C107" s="118"/>
      <c r="D107" s="118"/>
      <c r="E107" s="118"/>
      <c r="F107" s="118"/>
      <c r="G107" s="103"/>
    </row>
    <row r="108" spans="1:8" ht="18" customHeight="1">
      <c r="A108" s="83">
        <v>2</v>
      </c>
      <c r="B108" s="84" t="s">
        <v>55</v>
      </c>
      <c r="C108" s="85"/>
      <c r="D108" s="85"/>
      <c r="E108" s="16"/>
      <c r="F108" s="87" t="s">
        <v>0</v>
      </c>
      <c r="G108" s="88">
        <f>+F138</f>
        <v>5305</v>
      </c>
    </row>
    <row r="109" spans="1:8" ht="12.75" customHeight="1">
      <c r="A109" s="91"/>
      <c r="B109" s="92"/>
      <c r="C109" s="85"/>
      <c r="D109" s="85"/>
      <c r="E109" s="86"/>
      <c r="F109" s="85"/>
      <c r="G109" s="78"/>
    </row>
    <row r="110" spans="1:8" ht="12.75" hidden="1" customHeight="1">
      <c r="A110" s="91">
        <v>1</v>
      </c>
      <c r="B110" s="92" t="s">
        <v>81</v>
      </c>
      <c r="C110" s="85"/>
      <c r="D110" s="85"/>
      <c r="E110" s="86"/>
      <c r="F110" s="85"/>
      <c r="G110" s="78"/>
    </row>
    <row r="111" spans="1:8" ht="12.75" hidden="1" customHeight="1">
      <c r="A111" s="91"/>
      <c r="B111" s="92"/>
      <c r="C111" s="85"/>
      <c r="D111" s="85"/>
      <c r="E111" s="86"/>
      <c r="F111" s="85"/>
      <c r="G111" s="78"/>
    </row>
    <row r="112" spans="1:8" ht="12.75" hidden="1" customHeight="1">
      <c r="A112" s="91"/>
      <c r="B112" s="95" t="s">
        <v>53</v>
      </c>
      <c r="C112" s="96" t="s">
        <v>63</v>
      </c>
      <c r="D112" s="96" t="s">
        <v>25</v>
      </c>
      <c r="E112" s="96" t="s">
        <v>5</v>
      </c>
      <c r="F112" s="96" t="s">
        <v>4</v>
      </c>
      <c r="G112" s="78"/>
    </row>
    <row r="113" spans="1:7" ht="12.75" hidden="1" customHeight="1">
      <c r="A113" s="91"/>
      <c r="B113" s="52"/>
      <c r="C113" s="53"/>
      <c r="D113" s="107">
        <v>0</v>
      </c>
      <c r="E113" s="53">
        <v>0</v>
      </c>
      <c r="F113" s="107">
        <f>+D113*E113</f>
        <v>0</v>
      </c>
      <c r="G113" s="78"/>
    </row>
    <row r="114" spans="1:7" ht="12.75" hidden="1" customHeight="1">
      <c r="A114" s="91"/>
      <c r="B114" s="486" t="s">
        <v>3</v>
      </c>
      <c r="C114" s="486"/>
      <c r="D114" s="486"/>
      <c r="E114" s="486"/>
      <c r="F114" s="98">
        <f>SUM(F113:F113)</f>
        <v>0</v>
      </c>
      <c r="G114" s="78"/>
    </row>
    <row r="115" spans="1:7" ht="12.75" hidden="1" customHeight="1">
      <c r="A115" s="91"/>
      <c r="B115" s="92"/>
      <c r="C115" s="85"/>
      <c r="D115" s="85"/>
      <c r="E115" s="86"/>
      <c r="F115" s="85"/>
      <c r="G115" s="78"/>
    </row>
    <row r="116" spans="1:7" ht="12.75" customHeight="1">
      <c r="A116" s="91"/>
      <c r="B116" s="92"/>
      <c r="C116" s="85"/>
      <c r="D116" s="85"/>
      <c r="E116" s="86"/>
      <c r="F116" s="85"/>
      <c r="G116" s="78"/>
    </row>
    <row r="117" spans="1:7" ht="12.75" customHeight="1">
      <c r="A117" s="64"/>
      <c r="B117" s="95" t="s">
        <v>53</v>
      </c>
      <c r="C117" s="96" t="s">
        <v>63</v>
      </c>
      <c r="D117" s="96" t="s">
        <v>25</v>
      </c>
      <c r="E117" s="96" t="s">
        <v>5</v>
      </c>
      <c r="F117" s="96" t="s">
        <v>4</v>
      </c>
      <c r="G117" s="78"/>
    </row>
    <row r="118" spans="1:7">
      <c r="A118" s="64"/>
      <c r="B118" s="54" t="s">
        <v>383</v>
      </c>
      <c r="C118" s="110" t="s">
        <v>2</v>
      </c>
      <c r="D118" s="110">
        <v>1</v>
      </c>
      <c r="E118" s="110">
        <v>4500</v>
      </c>
      <c r="F118" s="54">
        <f>+D118*E118</f>
        <v>4500</v>
      </c>
      <c r="G118" s="78"/>
    </row>
    <row r="119" spans="1:7">
      <c r="A119" s="64"/>
      <c r="B119" s="54" t="s">
        <v>105</v>
      </c>
      <c r="C119" s="110" t="s">
        <v>2</v>
      </c>
      <c r="D119" s="110">
        <v>0</v>
      </c>
      <c r="E119" s="110">
        <v>1</v>
      </c>
      <c r="F119" s="54">
        <f>+D119*E119</f>
        <v>0</v>
      </c>
      <c r="G119" s="78"/>
    </row>
    <row r="120" spans="1:7" ht="12.75" customHeight="1">
      <c r="A120" s="64"/>
      <c r="B120" s="54" t="s">
        <v>59</v>
      </c>
      <c r="C120" s="110" t="s">
        <v>2</v>
      </c>
      <c r="D120" s="110">
        <v>1</v>
      </c>
      <c r="E120" s="110">
        <v>35</v>
      </c>
      <c r="F120" s="54">
        <f>+D120*E120</f>
        <v>35</v>
      </c>
      <c r="G120" s="78"/>
    </row>
    <row r="121" spans="1:7">
      <c r="A121" s="64"/>
      <c r="B121" s="54" t="s">
        <v>103</v>
      </c>
      <c r="C121" s="110" t="s">
        <v>2</v>
      </c>
      <c r="D121" s="110">
        <v>0</v>
      </c>
      <c r="E121" s="110">
        <v>1</v>
      </c>
      <c r="F121" s="54">
        <f t="shared" ref="F121:F136" si="6">+D121*E121</f>
        <v>0</v>
      </c>
      <c r="G121" s="78"/>
    </row>
    <row r="122" spans="1:7" ht="12.75" customHeight="1">
      <c r="A122" s="64"/>
      <c r="B122" s="54" t="s">
        <v>211</v>
      </c>
      <c r="C122" s="110" t="s">
        <v>2</v>
      </c>
      <c r="D122" s="110">
        <v>0</v>
      </c>
      <c r="E122" s="110">
        <v>2</v>
      </c>
      <c r="F122" s="54">
        <f t="shared" si="6"/>
        <v>0</v>
      </c>
      <c r="G122" s="78"/>
    </row>
    <row r="123" spans="1:7">
      <c r="A123" s="64"/>
      <c r="B123" s="54" t="s">
        <v>121</v>
      </c>
      <c r="C123" s="110" t="s">
        <v>2</v>
      </c>
      <c r="D123" s="110">
        <v>0</v>
      </c>
      <c r="E123" s="110">
        <v>3</v>
      </c>
      <c r="F123" s="54">
        <f t="shared" si="6"/>
        <v>0</v>
      </c>
      <c r="G123" s="78"/>
    </row>
    <row r="124" spans="1:7" ht="12.75" customHeight="1">
      <c r="A124" s="64"/>
      <c r="B124" s="54" t="s">
        <v>161</v>
      </c>
      <c r="C124" s="110" t="s">
        <v>2</v>
      </c>
      <c r="D124" s="110">
        <v>0</v>
      </c>
      <c r="E124" s="110">
        <v>6</v>
      </c>
      <c r="F124" s="54">
        <f t="shared" si="6"/>
        <v>0</v>
      </c>
      <c r="G124" s="78"/>
    </row>
    <row r="125" spans="1:7">
      <c r="A125" s="64"/>
      <c r="B125" s="54" t="s">
        <v>101</v>
      </c>
      <c r="C125" s="110" t="s">
        <v>2</v>
      </c>
      <c r="D125" s="110">
        <v>0</v>
      </c>
      <c r="E125" s="110">
        <v>4</v>
      </c>
      <c r="F125" s="54">
        <f t="shared" si="6"/>
        <v>0</v>
      </c>
      <c r="G125" s="78"/>
    </row>
    <row r="126" spans="1:7" ht="13.5" customHeight="1">
      <c r="A126" s="64"/>
      <c r="B126" s="54" t="s">
        <v>92</v>
      </c>
      <c r="C126" s="110" t="s">
        <v>54</v>
      </c>
      <c r="D126" s="110">
        <v>0</v>
      </c>
      <c r="E126" s="110">
        <v>6</v>
      </c>
      <c r="F126" s="54">
        <f t="shared" si="6"/>
        <v>0</v>
      </c>
      <c r="G126" s="78"/>
    </row>
    <row r="127" spans="1:7" ht="13.5" customHeight="1">
      <c r="A127" s="64"/>
      <c r="B127" s="54" t="s">
        <v>91</v>
      </c>
      <c r="C127" s="110" t="s">
        <v>2</v>
      </c>
      <c r="D127" s="110">
        <v>0</v>
      </c>
      <c r="E127" s="110">
        <v>0.8</v>
      </c>
      <c r="F127" s="54">
        <f t="shared" si="6"/>
        <v>0</v>
      </c>
      <c r="G127" s="78"/>
    </row>
    <row r="128" spans="1:7" ht="13.5" customHeight="1">
      <c r="A128" s="64"/>
      <c r="B128" s="54" t="s">
        <v>122</v>
      </c>
      <c r="C128" s="110" t="s">
        <v>332</v>
      </c>
      <c r="D128" s="110">
        <v>0</v>
      </c>
      <c r="E128" s="110">
        <v>50</v>
      </c>
      <c r="F128" s="54">
        <f t="shared" si="6"/>
        <v>0</v>
      </c>
      <c r="G128" s="78"/>
    </row>
    <row r="129" spans="1:10" ht="12.75" customHeight="1">
      <c r="A129" s="64"/>
      <c r="B129" s="54" t="s">
        <v>260</v>
      </c>
      <c r="C129" s="110" t="s">
        <v>2</v>
      </c>
      <c r="D129" s="110">
        <v>0</v>
      </c>
      <c r="E129" s="110">
        <v>5</v>
      </c>
      <c r="F129" s="54">
        <f t="shared" si="6"/>
        <v>0</v>
      </c>
      <c r="G129" s="78"/>
    </row>
    <row r="130" spans="1:10" ht="12" customHeight="1">
      <c r="A130" s="64"/>
      <c r="B130" s="54" t="s">
        <v>62</v>
      </c>
      <c r="C130" s="110" t="s">
        <v>56</v>
      </c>
      <c r="D130" s="110">
        <v>2</v>
      </c>
      <c r="E130" s="110">
        <v>35</v>
      </c>
      <c r="F130" s="54">
        <f t="shared" si="6"/>
        <v>70</v>
      </c>
      <c r="G130" s="78"/>
    </row>
    <row r="131" spans="1:10">
      <c r="A131" s="64"/>
      <c r="B131" s="54" t="s">
        <v>99</v>
      </c>
      <c r="C131" s="110" t="s">
        <v>2</v>
      </c>
      <c r="D131" s="110">
        <v>0</v>
      </c>
      <c r="E131" s="110">
        <v>4.5</v>
      </c>
      <c r="F131" s="54">
        <f t="shared" si="6"/>
        <v>0</v>
      </c>
      <c r="G131" s="78"/>
    </row>
    <row r="132" spans="1:10">
      <c r="A132" s="64"/>
      <c r="B132" s="54" t="s">
        <v>95</v>
      </c>
      <c r="C132" s="110" t="s">
        <v>2</v>
      </c>
      <c r="D132" s="110">
        <v>0</v>
      </c>
      <c r="E132" s="110">
        <v>5</v>
      </c>
      <c r="F132" s="54">
        <f t="shared" si="6"/>
        <v>0</v>
      </c>
      <c r="G132" s="78"/>
    </row>
    <row r="133" spans="1:10">
      <c r="A133" s="64"/>
      <c r="B133" s="54" t="s">
        <v>96</v>
      </c>
      <c r="C133" s="110" t="s">
        <v>2</v>
      </c>
      <c r="D133" s="110">
        <v>0</v>
      </c>
      <c r="E133" s="110">
        <v>15</v>
      </c>
      <c r="F133" s="54">
        <f t="shared" si="6"/>
        <v>0</v>
      </c>
      <c r="G133" s="78"/>
    </row>
    <row r="134" spans="1:10">
      <c r="A134" s="64"/>
      <c r="B134" s="54" t="s">
        <v>107</v>
      </c>
      <c r="C134" s="110" t="s">
        <v>83</v>
      </c>
      <c r="D134" s="110">
        <v>0</v>
      </c>
      <c r="E134" s="110">
        <v>8</v>
      </c>
      <c r="F134" s="54">
        <f t="shared" si="6"/>
        <v>0</v>
      </c>
      <c r="G134" s="78"/>
    </row>
    <row r="135" spans="1:10">
      <c r="A135" s="64"/>
      <c r="B135" s="54" t="s">
        <v>97</v>
      </c>
      <c r="C135" s="110" t="s">
        <v>2</v>
      </c>
      <c r="D135" s="110">
        <v>0</v>
      </c>
      <c r="E135" s="110">
        <v>1.5</v>
      </c>
      <c r="F135" s="54">
        <f t="shared" si="6"/>
        <v>0</v>
      </c>
      <c r="G135" s="78"/>
    </row>
    <row r="136" spans="1:10">
      <c r="A136" s="64"/>
      <c r="B136" s="54" t="s">
        <v>100</v>
      </c>
      <c r="C136" s="110" t="s">
        <v>2</v>
      </c>
      <c r="D136" s="110">
        <v>0</v>
      </c>
      <c r="E136" s="110">
        <v>2.5</v>
      </c>
      <c r="F136" s="54">
        <f t="shared" si="6"/>
        <v>0</v>
      </c>
      <c r="G136" s="78"/>
    </row>
    <row r="137" spans="1:10">
      <c r="A137" s="64"/>
      <c r="B137" s="52" t="s">
        <v>78</v>
      </c>
      <c r="C137" s="53" t="s">
        <v>2</v>
      </c>
      <c r="D137" s="53">
        <v>2</v>
      </c>
      <c r="E137" s="53">
        <v>350</v>
      </c>
      <c r="F137" s="107">
        <f>+D137*E137</f>
        <v>700</v>
      </c>
      <c r="G137" s="78"/>
    </row>
    <row r="138" spans="1:10" ht="12.75" customHeight="1">
      <c r="A138" s="93"/>
      <c r="B138" s="486" t="s">
        <v>3</v>
      </c>
      <c r="C138" s="486"/>
      <c r="D138" s="486"/>
      <c r="E138" s="486"/>
      <c r="F138" s="98">
        <f>SUM(F118:F137)</f>
        <v>5305</v>
      </c>
      <c r="G138" s="78"/>
    </row>
    <row r="139" spans="1:10" ht="12.75" customHeight="1">
      <c r="A139" s="93"/>
      <c r="B139" s="118"/>
      <c r="C139" s="118"/>
      <c r="D139" s="118"/>
      <c r="E139" s="118"/>
      <c r="F139" s="85"/>
      <c r="G139" s="78"/>
    </row>
    <row r="140" spans="1:10" ht="12.75" customHeight="1">
      <c r="A140" s="93"/>
      <c r="B140" s="118"/>
      <c r="C140" s="118"/>
      <c r="D140" s="118"/>
      <c r="E140" s="118"/>
      <c r="F140" s="85"/>
      <c r="G140" s="78"/>
    </row>
    <row r="141" spans="1:10" ht="15" hidden="1" customHeight="1">
      <c r="A141" s="127">
        <v>3</v>
      </c>
      <c r="B141" s="128" t="s">
        <v>133</v>
      </c>
      <c r="C141" s="136"/>
      <c r="D141" s="137"/>
      <c r="E141" s="138"/>
      <c r="F141" s="129" t="s">
        <v>0</v>
      </c>
      <c r="G141" s="130">
        <f>+F145</f>
        <v>0</v>
      </c>
    </row>
    <row r="142" spans="1:10" ht="12.75" hidden="1" customHeight="1">
      <c r="A142" s="131"/>
      <c r="B142" s="132"/>
      <c r="C142" s="139"/>
      <c r="D142" s="140"/>
      <c r="E142" s="139"/>
      <c r="F142" s="140"/>
    </row>
    <row r="143" spans="1:10" ht="18" hidden="1" customHeight="1">
      <c r="A143" s="131"/>
      <c r="B143" s="134" t="s">
        <v>24</v>
      </c>
      <c r="C143" s="134" t="s">
        <v>2</v>
      </c>
      <c r="D143" s="134" t="s">
        <v>25</v>
      </c>
      <c r="E143" s="134" t="s">
        <v>5</v>
      </c>
      <c r="F143" s="134" t="s">
        <v>4</v>
      </c>
      <c r="G143" s="190"/>
    </row>
    <row r="144" spans="1:10" ht="13.5" hidden="1" customHeight="1">
      <c r="A144" s="91"/>
      <c r="B144" s="186" t="s">
        <v>159</v>
      </c>
      <c r="C144" s="99" t="s">
        <v>6</v>
      </c>
      <c r="D144" s="187">
        <v>0</v>
      </c>
      <c r="E144" s="99">
        <v>14.5</v>
      </c>
      <c r="F144" s="188">
        <f>E144*D144</f>
        <v>0</v>
      </c>
      <c r="G144" s="85"/>
      <c r="J144" s="189"/>
    </row>
    <row r="145" spans="1:8" ht="12.75" hidden="1" customHeight="1">
      <c r="A145" s="133"/>
      <c r="B145" s="486" t="s">
        <v>3</v>
      </c>
      <c r="C145" s="486"/>
      <c r="D145" s="486"/>
      <c r="E145" s="486"/>
      <c r="F145" s="135">
        <f>SUM(F144:F144)</f>
        <v>0</v>
      </c>
    </row>
    <row r="146" spans="1:8" ht="12.75" hidden="1" customHeight="1">
      <c r="A146" s="133"/>
      <c r="B146" s="142"/>
      <c r="C146" s="126"/>
      <c r="D146" s="143"/>
      <c r="E146" s="126"/>
      <c r="F146" s="143"/>
    </row>
    <row r="147" spans="1:8" ht="16.5" customHeight="1">
      <c r="A147" s="127"/>
      <c r="B147" s="118"/>
      <c r="C147" s="118"/>
      <c r="D147" s="118"/>
      <c r="E147" s="118"/>
      <c r="F147" s="85"/>
      <c r="G147" s="130"/>
    </row>
    <row r="148" spans="1:8" s="182" customFormat="1" ht="15.75">
      <c r="A148" s="242" t="s">
        <v>207</v>
      </c>
      <c r="B148" s="243"/>
      <c r="C148" s="239"/>
      <c r="D148" s="239"/>
      <c r="E148" s="240"/>
      <c r="F148" s="240" t="s">
        <v>0</v>
      </c>
      <c r="G148" s="241">
        <f>+G150</f>
        <v>2000</v>
      </c>
      <c r="H148" s="208"/>
    </row>
    <row r="149" spans="1:8" ht="12.75" customHeight="1">
      <c r="A149" s="93"/>
      <c r="B149" s="118"/>
      <c r="C149" s="118"/>
      <c r="D149" s="118"/>
      <c r="E149" s="118"/>
      <c r="F149" s="85"/>
      <c r="G149" s="78"/>
    </row>
    <row r="150" spans="1:8" ht="16.5" customHeight="1">
      <c r="A150" s="83">
        <v>1</v>
      </c>
      <c r="B150" s="154" t="s">
        <v>33</v>
      </c>
      <c r="C150" s="146"/>
      <c r="D150" s="146"/>
      <c r="E150" s="145"/>
      <c r="F150" s="129" t="s">
        <v>0</v>
      </c>
      <c r="G150" s="130">
        <f>F156</f>
        <v>2000</v>
      </c>
    </row>
    <row r="151" spans="1:8" ht="16.5" customHeight="1">
      <c r="A151" s="127"/>
      <c r="B151" s="92"/>
      <c r="C151" s="85"/>
      <c r="D151" s="85"/>
      <c r="E151" s="86"/>
      <c r="F151" s="85"/>
      <c r="G151" s="130"/>
    </row>
    <row r="152" spans="1:8" ht="16.5" customHeight="1">
      <c r="A152" s="127"/>
      <c r="B152" s="95" t="s">
        <v>53</v>
      </c>
      <c r="C152" s="96" t="s">
        <v>63</v>
      </c>
      <c r="D152" s="96" t="s">
        <v>25</v>
      </c>
      <c r="E152" s="96" t="s">
        <v>5</v>
      </c>
      <c r="F152" s="96" t="s">
        <v>4</v>
      </c>
      <c r="G152" s="130"/>
    </row>
    <row r="153" spans="1:8" ht="16.5" hidden="1" customHeight="1">
      <c r="A153" s="127"/>
      <c r="B153" s="52" t="s">
        <v>160</v>
      </c>
      <c r="C153" s="53" t="s">
        <v>173</v>
      </c>
      <c r="D153" s="53">
        <v>0</v>
      </c>
      <c r="E153" s="53">
        <v>250</v>
      </c>
      <c r="F153" s="107">
        <f>+D153*E153</f>
        <v>0</v>
      </c>
      <c r="G153" s="130"/>
    </row>
    <row r="154" spans="1:8" ht="16.5" customHeight="1">
      <c r="A154" s="127"/>
      <c r="B154" s="52" t="s">
        <v>382</v>
      </c>
      <c r="C154" s="53" t="s">
        <v>333</v>
      </c>
      <c r="D154" s="53">
        <v>1</v>
      </c>
      <c r="E154" s="53">
        <v>1000</v>
      </c>
      <c r="F154" s="107">
        <f>+D154*E154</f>
        <v>1000</v>
      </c>
      <c r="G154" s="130"/>
    </row>
    <row r="155" spans="1:8" ht="16.5" customHeight="1">
      <c r="A155" s="127"/>
      <c r="B155" s="52" t="s">
        <v>134</v>
      </c>
      <c r="C155" s="53" t="s">
        <v>333</v>
      </c>
      <c r="D155" s="53">
        <v>1</v>
      </c>
      <c r="E155" s="53">
        <v>1000</v>
      </c>
      <c r="F155" s="107">
        <f>+D155*E155</f>
        <v>1000</v>
      </c>
      <c r="G155" s="130"/>
    </row>
    <row r="156" spans="1:8" ht="16.5" customHeight="1">
      <c r="A156" s="127"/>
      <c r="B156" s="495" t="s">
        <v>3</v>
      </c>
      <c r="C156" s="496"/>
      <c r="D156" s="496"/>
      <c r="E156" s="497"/>
      <c r="F156" s="98">
        <f>SUM(F153:F155)</f>
        <v>2000</v>
      </c>
      <c r="G156" s="130"/>
    </row>
    <row r="157" spans="1:8" ht="16.5" customHeight="1">
      <c r="A157" s="127"/>
      <c r="B157" s="118"/>
      <c r="C157" s="118"/>
      <c r="D157" s="118"/>
      <c r="E157" s="118"/>
      <c r="F157" s="85"/>
      <c r="G157" s="130"/>
    </row>
    <row r="158" spans="1:8" ht="15.75">
      <c r="A158" s="499" t="s">
        <v>76</v>
      </c>
      <c r="B158" s="499"/>
      <c r="C158" s="499"/>
      <c r="D158" s="499"/>
      <c r="E158" s="499"/>
      <c r="F158" s="87" t="s">
        <v>0</v>
      </c>
      <c r="G158" s="164">
        <f>+G18</f>
        <v>24961.5</v>
      </c>
    </row>
    <row r="161" spans="6:7" ht="15.75">
      <c r="G161" s="164"/>
    </row>
    <row r="162" spans="6:7" ht="15.75">
      <c r="G162" s="164"/>
    </row>
    <row r="163" spans="6:7" ht="15.75">
      <c r="G163" s="164"/>
    </row>
    <row r="164" spans="6:7" ht="15.75">
      <c r="G164" s="164"/>
    </row>
    <row r="165" spans="6:7" ht="15.75">
      <c r="G165" s="164"/>
    </row>
    <row r="166" spans="6:7" ht="15.75">
      <c r="F166" s="80"/>
      <c r="G166" s="164"/>
    </row>
    <row r="167" spans="6:7" ht="15.75">
      <c r="G167" s="164"/>
    </row>
    <row r="168" spans="6:7" ht="15.75">
      <c r="G168" s="164"/>
    </row>
  </sheetData>
  <mergeCells count="19">
    <mergeCell ref="A158:E158"/>
    <mergeCell ref="B106:E106"/>
    <mergeCell ref="B63:E63"/>
    <mergeCell ref="B53:E53"/>
    <mergeCell ref="A25:G25"/>
    <mergeCell ref="A23:G23"/>
    <mergeCell ref="B156:E156"/>
    <mergeCell ref="B114:E114"/>
    <mergeCell ref="B138:E138"/>
    <mergeCell ref="A3:G3"/>
    <mergeCell ref="B145:E145"/>
    <mergeCell ref="B75:E75"/>
    <mergeCell ref="B97:E97"/>
    <mergeCell ref="C10:G11"/>
    <mergeCell ref="B40:E40"/>
    <mergeCell ref="B85:E85"/>
    <mergeCell ref="C13:F13"/>
    <mergeCell ref="B18:F18"/>
    <mergeCell ref="G37:G39"/>
  </mergeCells>
  <phoneticPr fontId="0" type="noConversion"/>
  <printOptions horizontalCentered="1"/>
  <pageMargins left="0.98425196850393704" right="0.98425196850393704" top="1.46" bottom="0.98425196850393704" header="0.35433070866141736" footer="0.51181102362204722"/>
  <pageSetup paperSize="9" scale="61" orientation="portrait" r:id="rId1"/>
  <headerFooter alignWithMargins="0"/>
  <rowBreaks count="2" manualBreakCount="2">
    <brk id="21" max="6" man="1"/>
    <brk id="98" max="6" man="1"/>
  </rowBreak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">
    <tabColor indexed="43"/>
  </sheetPr>
  <dimension ref="A1:J163"/>
  <sheetViews>
    <sheetView view="pageBreakPreview" topLeftCell="A10" zoomScale="82" zoomScaleNormal="100" zoomScaleSheetLayoutView="82" workbookViewId="0">
      <selection activeCell="B44" sqref="B44:E44"/>
    </sheetView>
  </sheetViews>
  <sheetFormatPr baseColWidth="10" defaultColWidth="11.42578125" defaultRowHeight="12.75"/>
  <cols>
    <col min="1" max="1" width="7.5703125" style="70" customWidth="1"/>
    <col min="2" max="2" width="46" style="70" customWidth="1"/>
    <col min="3" max="3" width="20.5703125" style="70" customWidth="1"/>
    <col min="4" max="4" width="15.7109375" style="70" customWidth="1"/>
    <col min="5" max="5" width="11.140625" style="73" customWidth="1"/>
    <col min="6" max="6" width="14.7109375" style="70" customWidth="1"/>
    <col min="7" max="7" width="16.85546875" style="70" customWidth="1"/>
    <col min="8" max="16384" width="11.42578125" style="63"/>
  </cols>
  <sheetData>
    <row r="1" spans="1:7" ht="20.25" customHeight="1"/>
    <row r="2" spans="1:7" ht="20.25" customHeight="1"/>
    <row r="3" spans="1:7" ht="27" customHeight="1">
      <c r="A3" s="505" t="s">
        <v>143</v>
      </c>
      <c r="B3" s="505"/>
      <c r="C3" s="505"/>
      <c r="D3" s="505"/>
      <c r="E3" s="505"/>
      <c r="F3" s="505"/>
      <c r="G3" s="505"/>
    </row>
    <row r="4" spans="1:7" ht="18" customHeight="1">
      <c r="A4" s="65"/>
      <c r="B4" s="65"/>
      <c r="C4" s="65"/>
      <c r="D4" s="65"/>
      <c r="E4" s="66"/>
      <c r="F4" s="65"/>
      <c r="G4" s="65"/>
    </row>
    <row r="5" spans="1:7" ht="18" customHeight="1">
      <c r="B5" s="68"/>
      <c r="C5" s="69"/>
      <c r="D5" s="65"/>
      <c r="E5" s="66"/>
      <c r="F5" s="65"/>
    </row>
    <row r="6" spans="1:7" ht="18" customHeight="1">
      <c r="B6" s="68" t="s">
        <v>35</v>
      </c>
      <c r="C6" s="30" t="str">
        <f>'R'!C9</f>
        <v>:</v>
      </c>
      <c r="D6" s="65"/>
      <c r="E6" s="66"/>
      <c r="F6" s="65"/>
      <c r="G6" s="65"/>
    </row>
    <row r="7" spans="1:7" ht="18" customHeight="1">
      <c r="B7" s="68" t="s">
        <v>65</v>
      </c>
      <c r="C7" s="30" t="str">
        <f>'R'!C10</f>
        <v>:22 EDUCACIÓN</v>
      </c>
      <c r="G7" s="33" t="s">
        <v>1</v>
      </c>
    </row>
    <row r="8" spans="1:7" ht="18" customHeight="1">
      <c r="B8" s="29" t="s">
        <v>66</v>
      </c>
      <c r="C8" s="30" t="str">
        <f>'R'!C11</f>
        <v>:047 EDUCACIÓN BÁSICA</v>
      </c>
      <c r="G8" s="33"/>
    </row>
    <row r="9" spans="1:7" ht="18" customHeight="1">
      <c r="B9" s="29" t="s">
        <v>67</v>
      </c>
      <c r="C9" s="30" t="str">
        <f>'R'!C12</f>
        <v>:EDUCACIÓN PRIMARIA SECUNDARIA</v>
      </c>
    </row>
    <row r="10" spans="1:7" ht="18" customHeight="1">
      <c r="B10" s="29" t="s">
        <v>111</v>
      </c>
      <c r="C10" s="502" t="s">
        <v>652</v>
      </c>
      <c r="D10" s="502"/>
      <c r="E10" s="502"/>
      <c r="F10" s="502"/>
      <c r="G10" s="502"/>
    </row>
    <row r="11" spans="1:7" ht="24" customHeight="1">
      <c r="B11" s="29"/>
      <c r="C11" s="502"/>
      <c r="D11" s="502"/>
      <c r="E11" s="502"/>
      <c r="F11" s="502"/>
      <c r="G11" s="502"/>
    </row>
    <row r="12" spans="1:7" ht="18" customHeight="1">
      <c r="B12" s="29"/>
      <c r="C12" s="30"/>
      <c r="D12" s="65"/>
    </row>
    <row r="13" spans="1:7" ht="18" customHeight="1" thickBot="1">
      <c r="B13" s="29"/>
      <c r="C13" s="30"/>
      <c r="D13" s="65"/>
    </row>
    <row r="14" spans="1:7" s="182" customFormat="1" ht="20.25" customHeight="1" thickBot="1">
      <c r="A14" s="183"/>
      <c r="B14" s="224" t="s">
        <v>36</v>
      </c>
      <c r="C14" s="487" t="s">
        <v>37</v>
      </c>
      <c r="D14" s="487"/>
      <c r="E14" s="487"/>
      <c r="F14" s="487"/>
      <c r="G14" s="225" t="s">
        <v>212</v>
      </c>
    </row>
    <row r="15" spans="1:7" s="182" customFormat="1" ht="20.25" customHeight="1">
      <c r="A15" s="183"/>
      <c r="B15" s="204" t="str">
        <f>'R'!A16</f>
        <v>2.6.2.2.2.4</v>
      </c>
      <c r="C15" s="205" t="s">
        <v>144</v>
      </c>
      <c r="D15" s="205"/>
      <c r="E15" s="205"/>
      <c r="F15" s="206"/>
      <c r="G15" s="207">
        <f>+G33</f>
        <v>14476.249999999998</v>
      </c>
    </row>
    <row r="16" spans="1:7" s="182" customFormat="1" ht="20.25" customHeight="1">
      <c r="A16" s="183"/>
      <c r="B16" s="204" t="str">
        <f>'R'!A17</f>
        <v>2.6.2.2.2.5</v>
      </c>
      <c r="C16" s="199" t="s">
        <v>145</v>
      </c>
      <c r="D16" s="199"/>
      <c r="E16" s="199"/>
      <c r="F16" s="200"/>
      <c r="G16" s="201">
        <f>+G99</f>
        <v>1564.5</v>
      </c>
    </row>
    <row r="17" spans="1:10" s="182" customFormat="1" ht="20.25" customHeight="1">
      <c r="A17" s="183"/>
      <c r="B17" s="204" t="str">
        <f>'R'!A18</f>
        <v>2.6.2.2.2.6</v>
      </c>
      <c r="C17" s="202" t="s">
        <v>146</v>
      </c>
      <c r="D17" s="202"/>
      <c r="E17" s="202"/>
      <c r="F17" s="200"/>
      <c r="G17" s="201">
        <f>+G126</f>
        <v>1250</v>
      </c>
    </row>
    <row r="18" spans="1:10" s="182" customFormat="1" ht="20.25" customHeight="1">
      <c r="A18" s="183"/>
      <c r="B18" s="204" t="str">
        <f>'R'!A19</f>
        <v>2.6.2.2.2.7</v>
      </c>
      <c r="C18" s="199" t="s">
        <v>147</v>
      </c>
      <c r="D18" s="199"/>
      <c r="E18" s="199"/>
      <c r="F18" s="200"/>
      <c r="G18" s="201">
        <f>+G21</f>
        <v>0</v>
      </c>
    </row>
    <row r="19" spans="1:10" s="182" customFormat="1" ht="20.25" customHeight="1" thickBot="1">
      <c r="A19" s="183"/>
      <c r="B19" s="488" t="s">
        <v>157</v>
      </c>
      <c r="C19" s="489"/>
      <c r="D19" s="489"/>
      <c r="E19" s="489"/>
      <c r="F19" s="489"/>
      <c r="G19" s="203">
        <f>ROUND(SUM(G15:G18),2)</f>
        <v>17290.75</v>
      </c>
      <c r="H19" s="184"/>
      <c r="I19" s="328"/>
      <c r="J19" s="184"/>
    </row>
    <row r="20" spans="1:10" ht="18" customHeight="1">
      <c r="B20" s="75"/>
      <c r="C20" s="75"/>
      <c r="D20" s="75"/>
      <c r="E20" s="75"/>
      <c r="F20" s="88"/>
      <c r="G20" s="65"/>
    </row>
    <row r="21" spans="1:10" ht="18" customHeight="1">
      <c r="B21" s="75"/>
      <c r="C21" s="75"/>
      <c r="D21" s="75"/>
      <c r="E21" s="75"/>
      <c r="F21" s="88"/>
      <c r="G21" s="65"/>
    </row>
    <row r="22" spans="1:10" ht="18" customHeight="1">
      <c r="B22" s="75"/>
      <c r="C22" s="75"/>
      <c r="D22" s="75"/>
      <c r="E22" s="75"/>
      <c r="F22" s="88"/>
      <c r="G22" s="65"/>
    </row>
    <row r="23" spans="1:10" ht="18" customHeight="1">
      <c r="B23" s="75"/>
      <c r="C23" s="75"/>
      <c r="D23" s="75"/>
      <c r="E23" s="75"/>
      <c r="F23" s="88"/>
      <c r="G23" s="65"/>
    </row>
    <row r="24" spans="1:10" ht="18" customHeight="1">
      <c r="B24" s="75"/>
      <c r="C24" s="75"/>
      <c r="D24" s="75"/>
      <c r="E24" s="75"/>
      <c r="F24" s="88"/>
      <c r="G24" s="65"/>
    </row>
    <row r="25" spans="1:10" ht="18" customHeight="1">
      <c r="B25" s="75"/>
      <c r="C25" s="75"/>
      <c r="D25" s="75"/>
      <c r="E25" s="75"/>
      <c r="F25" s="88"/>
      <c r="G25" s="65"/>
    </row>
    <row r="26" spans="1:10" ht="18" customHeight="1">
      <c r="A26" s="77"/>
      <c r="B26" s="77"/>
      <c r="C26" s="67"/>
      <c r="D26" s="78"/>
      <c r="E26" s="79"/>
      <c r="F26" s="67"/>
    </row>
    <row r="27" spans="1:10" ht="27" customHeight="1">
      <c r="A27" s="482" t="s">
        <v>42</v>
      </c>
      <c r="B27" s="483"/>
      <c r="C27" s="483"/>
      <c r="D27" s="483"/>
      <c r="E27" s="483"/>
      <c r="F27" s="483"/>
      <c r="G27" s="483"/>
    </row>
    <row r="28" spans="1:10" ht="12" customHeight="1">
      <c r="A28" s="230"/>
      <c r="B28" s="231"/>
      <c r="C28" s="232"/>
      <c r="D28" s="231"/>
      <c r="E28" s="233"/>
      <c r="F28" s="231"/>
      <c r="G28" s="231"/>
    </row>
    <row r="29" spans="1:10" ht="27" customHeight="1">
      <c r="A29" s="482" t="s">
        <v>154</v>
      </c>
      <c r="B29" s="482"/>
      <c r="C29" s="482"/>
      <c r="D29" s="482"/>
      <c r="E29" s="482"/>
      <c r="F29" s="482"/>
      <c r="G29" s="482"/>
    </row>
    <row r="30" spans="1:10" ht="27" customHeight="1">
      <c r="A30" s="335"/>
      <c r="B30" s="335"/>
      <c r="C30" s="335"/>
      <c r="D30" s="335"/>
      <c r="E30" s="335"/>
      <c r="F30" s="335"/>
      <c r="G30" s="335"/>
    </row>
    <row r="31" spans="1:10" ht="27" customHeight="1">
      <c r="A31" s="335"/>
      <c r="B31" s="335"/>
      <c r="C31" s="335"/>
      <c r="D31" s="335"/>
      <c r="E31" s="335"/>
      <c r="F31" s="335"/>
      <c r="G31" s="335"/>
    </row>
    <row r="32" spans="1:10" ht="12.75" customHeight="1">
      <c r="A32" s="123"/>
      <c r="B32" s="123"/>
      <c r="C32" s="124"/>
      <c r="D32" s="125"/>
      <c r="E32" s="126"/>
      <c r="F32" s="123"/>
      <c r="G32" s="123"/>
    </row>
    <row r="33" spans="1:8" s="182" customFormat="1" ht="15.75">
      <c r="A33" s="237" t="s">
        <v>205</v>
      </c>
      <c r="B33" s="238"/>
      <c r="C33" s="239"/>
      <c r="D33" s="239"/>
      <c r="E33" s="240"/>
      <c r="F33" s="240" t="s">
        <v>0</v>
      </c>
      <c r="G33" s="241">
        <f>+G35+G47+G68+G88</f>
        <v>14476.249999999998</v>
      </c>
      <c r="H33" s="208"/>
    </row>
    <row r="34" spans="1:8" s="182" customFormat="1" ht="15.75">
      <c r="A34" s="226"/>
      <c r="B34" s="223"/>
      <c r="C34" s="212"/>
      <c r="D34" s="212"/>
      <c r="E34" s="213"/>
      <c r="F34" s="213"/>
      <c r="G34" s="214"/>
      <c r="H34" s="208"/>
    </row>
    <row r="35" spans="1:8" ht="18" customHeight="1">
      <c r="A35" s="215"/>
      <c r="B35" s="216" t="s">
        <v>11</v>
      </c>
      <c r="C35" s="217"/>
      <c r="D35" s="217"/>
      <c r="E35" s="219"/>
      <c r="F35" s="220" t="s">
        <v>0</v>
      </c>
      <c r="G35" s="221">
        <f>+F44</f>
        <v>10000</v>
      </c>
    </row>
    <row r="36" spans="1:8" ht="12.75" customHeight="1">
      <c r="A36" s="89"/>
      <c r="B36" s="90"/>
      <c r="C36" s="85"/>
      <c r="D36" s="85"/>
      <c r="E36" s="86"/>
      <c r="F36" s="85"/>
      <c r="G36" s="85"/>
    </row>
    <row r="37" spans="1:8" ht="12.75" customHeight="1">
      <c r="A37" s="91" t="s">
        <v>12</v>
      </c>
      <c r="B37" s="92" t="s">
        <v>13</v>
      </c>
      <c r="C37" s="85"/>
      <c r="D37" s="85"/>
      <c r="E37" s="86"/>
      <c r="F37" s="85"/>
      <c r="G37" s="85"/>
    </row>
    <row r="38" spans="1:8" ht="12.75" customHeight="1">
      <c r="A38" s="93"/>
      <c r="B38" s="78"/>
      <c r="C38" s="85"/>
      <c r="D38" s="85"/>
      <c r="E38" s="86"/>
      <c r="F38" s="85"/>
      <c r="G38" s="85"/>
    </row>
    <row r="39" spans="1:8" ht="12.75" customHeight="1">
      <c r="A39" s="64"/>
      <c r="B39" s="92" t="s">
        <v>44</v>
      </c>
      <c r="C39" s="78"/>
      <c r="D39" s="78"/>
      <c r="E39" s="94"/>
      <c r="F39" s="78"/>
      <c r="G39" s="85"/>
    </row>
    <row r="40" spans="1:8" ht="12.75" customHeight="1">
      <c r="A40" s="64"/>
      <c r="B40" s="92"/>
      <c r="C40" s="78"/>
      <c r="D40" s="78"/>
      <c r="E40" s="94"/>
      <c r="F40" s="78"/>
      <c r="G40" s="85"/>
    </row>
    <row r="41" spans="1:8" ht="12.75" customHeight="1">
      <c r="A41" s="93"/>
      <c r="B41" s="95" t="s">
        <v>45</v>
      </c>
      <c r="C41" s="96" t="s">
        <v>46</v>
      </c>
      <c r="D41" s="96" t="s">
        <v>47</v>
      </c>
      <c r="E41" s="96" t="s">
        <v>14</v>
      </c>
      <c r="F41" s="96" t="s">
        <v>4</v>
      </c>
      <c r="G41" s="85"/>
    </row>
    <row r="42" spans="1:8" ht="12.75" customHeight="1">
      <c r="A42" s="93"/>
      <c r="B42" s="117" t="s">
        <v>269</v>
      </c>
      <c r="C42" s="99">
        <v>1</v>
      </c>
      <c r="D42" s="99">
        <v>1</v>
      </c>
      <c r="E42" s="99">
        <v>6000</v>
      </c>
      <c r="F42" s="117">
        <f>+C42*D42*E42</f>
        <v>6000</v>
      </c>
      <c r="G42" s="85"/>
    </row>
    <row r="43" spans="1:8" ht="12.75" customHeight="1">
      <c r="A43" s="64"/>
      <c r="B43" s="97" t="s">
        <v>268</v>
      </c>
      <c r="C43" s="53">
        <v>1</v>
      </c>
      <c r="D43" s="53">
        <v>1</v>
      </c>
      <c r="E43" s="53">
        <v>4000</v>
      </c>
      <c r="F43" s="97">
        <f>+C43*D43*E43</f>
        <v>4000</v>
      </c>
      <c r="G43" s="85"/>
    </row>
    <row r="44" spans="1:8" ht="12.75" customHeight="1">
      <c r="A44" s="67"/>
      <c r="B44" s="490" t="s">
        <v>3</v>
      </c>
      <c r="C44" s="490"/>
      <c r="D44" s="490"/>
      <c r="E44" s="490"/>
      <c r="F44" s="259">
        <f>SUM(F42:F43)</f>
        <v>10000</v>
      </c>
      <c r="G44" s="78"/>
    </row>
    <row r="45" spans="1:8" ht="12.75" customHeight="1">
      <c r="A45" s="64"/>
      <c r="B45" s="85"/>
      <c r="C45" s="85"/>
      <c r="D45" s="85"/>
      <c r="E45" s="86"/>
      <c r="F45" s="85"/>
      <c r="G45" s="85"/>
    </row>
    <row r="46" spans="1:8" ht="15.75" customHeight="1">
      <c r="A46" s="64"/>
      <c r="B46" s="85"/>
      <c r="C46" s="85"/>
      <c r="D46" s="85"/>
      <c r="E46" s="86"/>
      <c r="F46" s="85"/>
      <c r="G46" s="85"/>
    </row>
    <row r="47" spans="1:8" ht="18" customHeight="1">
      <c r="A47" s="215"/>
      <c r="B47" s="216" t="s">
        <v>20</v>
      </c>
      <c r="C47" s="217"/>
      <c r="D47" s="217"/>
      <c r="E47" s="219"/>
      <c r="F47" s="220" t="s">
        <v>0</v>
      </c>
      <c r="G47" s="221">
        <f>+F56+F66</f>
        <v>1142.9166666666667</v>
      </c>
    </row>
    <row r="48" spans="1:8" ht="12.75" customHeight="1">
      <c r="A48" s="89"/>
      <c r="B48" s="90"/>
      <c r="C48" s="85"/>
      <c r="D48" s="85"/>
      <c r="E48" s="86"/>
      <c r="F48" s="85"/>
      <c r="G48" s="85"/>
    </row>
    <row r="49" spans="1:7" ht="12.75" customHeight="1">
      <c r="A49" s="91" t="s">
        <v>12</v>
      </c>
      <c r="B49" s="92" t="s">
        <v>139</v>
      </c>
      <c r="C49" s="85"/>
      <c r="D49" s="85"/>
      <c r="E49" s="86"/>
      <c r="F49" s="85"/>
      <c r="G49" s="85"/>
    </row>
    <row r="50" spans="1:7" ht="12.75" customHeight="1">
      <c r="A50" s="91"/>
      <c r="B50" s="92"/>
      <c r="C50" s="85"/>
      <c r="D50" s="85"/>
      <c r="E50" s="86"/>
      <c r="F50" s="85"/>
      <c r="G50" s="85"/>
    </row>
    <row r="51" spans="1:7" ht="12.75" customHeight="1">
      <c r="A51" s="93"/>
      <c r="B51" s="92" t="s">
        <v>44</v>
      </c>
      <c r="C51" s="78"/>
      <c r="D51" s="78"/>
      <c r="E51" s="94"/>
      <c r="F51" s="85"/>
      <c r="G51" s="85"/>
    </row>
    <row r="52" spans="1:7" ht="12.75" customHeight="1">
      <c r="A52" s="93"/>
      <c r="B52" s="92"/>
      <c r="C52" s="78"/>
      <c r="D52" s="78"/>
      <c r="E52" s="94"/>
      <c r="F52" s="85"/>
      <c r="G52" s="85"/>
    </row>
    <row r="53" spans="1:7" ht="12.75" customHeight="1">
      <c r="A53" s="64"/>
      <c r="B53" s="95" t="s">
        <v>45</v>
      </c>
      <c r="C53" s="96" t="s">
        <v>46</v>
      </c>
      <c r="D53" s="96" t="s">
        <v>47</v>
      </c>
      <c r="E53" s="96" t="s">
        <v>14</v>
      </c>
      <c r="F53" s="96" t="s">
        <v>4</v>
      </c>
      <c r="G53" s="85"/>
    </row>
    <row r="54" spans="1:7" ht="12.75" customHeight="1">
      <c r="A54" s="64"/>
      <c r="B54" s="117" t="str">
        <f t="shared" ref="B54:D55" si="0">+B42</f>
        <v>LIQUIDADOR TECNICO</v>
      </c>
      <c r="C54" s="99">
        <f t="shared" si="0"/>
        <v>1</v>
      </c>
      <c r="D54" s="99">
        <f t="shared" si="0"/>
        <v>1</v>
      </c>
      <c r="E54" s="99">
        <f>+(E42+E84)*0.09</f>
        <v>585</v>
      </c>
      <c r="F54" s="117">
        <f>+C54*D54*E54</f>
        <v>585</v>
      </c>
      <c r="G54" s="85"/>
    </row>
    <row r="55" spans="1:7" ht="12.75" customHeight="1">
      <c r="A55" s="64"/>
      <c r="B55" s="97" t="str">
        <f t="shared" si="0"/>
        <v>LIQUIDADOR FINANCIERO</v>
      </c>
      <c r="C55" s="53">
        <f t="shared" si="0"/>
        <v>1</v>
      </c>
      <c r="D55" s="53">
        <f t="shared" si="0"/>
        <v>1</v>
      </c>
      <c r="E55" s="99">
        <f>+(E43+E85)*0.09</f>
        <v>389.99999999999994</v>
      </c>
      <c r="F55" s="97">
        <f>+C55*D55*E55</f>
        <v>389.99999999999994</v>
      </c>
      <c r="G55" s="85"/>
    </row>
    <row r="56" spans="1:7" ht="12.75" customHeight="1">
      <c r="A56" s="64"/>
      <c r="B56" s="500" t="s">
        <v>3</v>
      </c>
      <c r="C56" s="500"/>
      <c r="D56" s="500"/>
      <c r="E56" s="500"/>
      <c r="F56" s="259">
        <f>SUM(F54:F55)</f>
        <v>975</v>
      </c>
      <c r="G56" s="85"/>
    </row>
    <row r="57" spans="1:7" ht="13.5" customHeight="1">
      <c r="A57" s="64"/>
      <c r="B57" s="101"/>
      <c r="C57" s="101"/>
      <c r="D57" s="101"/>
      <c r="E57" s="86"/>
      <c r="F57" s="85"/>
      <c r="G57" s="85"/>
    </row>
    <row r="58" spans="1:7" ht="13.5" customHeight="1">
      <c r="A58" s="64"/>
      <c r="B58" s="101"/>
      <c r="C58" s="85"/>
      <c r="D58" s="101"/>
      <c r="E58" s="86"/>
      <c r="F58" s="85"/>
      <c r="G58" s="85"/>
    </row>
    <row r="59" spans="1:7" ht="12.75" customHeight="1">
      <c r="A59" s="102" t="s">
        <v>15</v>
      </c>
      <c r="B59" s="92" t="s">
        <v>85</v>
      </c>
      <c r="C59" s="85"/>
      <c r="D59" s="85"/>
      <c r="E59" s="86"/>
      <c r="F59" s="85"/>
      <c r="G59" s="85"/>
    </row>
    <row r="60" spans="1:7" ht="12.75" customHeight="1">
      <c r="A60" s="91"/>
      <c r="B60" s="92"/>
      <c r="C60" s="85"/>
      <c r="D60" s="85"/>
      <c r="E60" s="86"/>
      <c r="F60" s="85"/>
      <c r="G60" s="85"/>
    </row>
    <row r="61" spans="1:7" ht="12.75" customHeight="1">
      <c r="A61" s="64"/>
      <c r="B61" s="92" t="s">
        <v>44</v>
      </c>
      <c r="C61" s="78"/>
      <c r="D61" s="78"/>
      <c r="E61" s="94"/>
      <c r="F61" s="85"/>
      <c r="G61" s="85"/>
    </row>
    <row r="62" spans="1:7" ht="12.75" customHeight="1">
      <c r="A62" s="64"/>
      <c r="B62" s="92"/>
      <c r="C62" s="78"/>
      <c r="D62" s="78"/>
      <c r="E62" s="94"/>
      <c r="F62" s="85"/>
      <c r="G62" s="85"/>
    </row>
    <row r="63" spans="1:7" ht="12.75" customHeight="1">
      <c r="A63" s="64"/>
      <c r="B63" s="95" t="s">
        <v>45</v>
      </c>
      <c r="C63" s="96" t="s">
        <v>46</v>
      </c>
      <c r="D63" s="96" t="s">
        <v>47</v>
      </c>
      <c r="E63" s="96" t="s">
        <v>14</v>
      </c>
      <c r="F63" s="96" t="s">
        <v>4</v>
      </c>
      <c r="G63" s="85"/>
    </row>
    <row r="64" spans="1:7" ht="12.75" customHeight="1">
      <c r="A64" s="64"/>
      <c r="B64" s="117" t="str">
        <f t="shared" ref="B64:D65" si="1">+B42</f>
        <v>LIQUIDADOR TECNICO</v>
      </c>
      <c r="C64" s="99">
        <f t="shared" si="1"/>
        <v>1</v>
      </c>
      <c r="D64" s="99">
        <f t="shared" si="1"/>
        <v>1</v>
      </c>
      <c r="E64" s="99">
        <f>+(E42+E84)*0.0155</f>
        <v>100.75</v>
      </c>
      <c r="F64" s="117">
        <f>+C64*D64*E64</f>
        <v>100.75</v>
      </c>
      <c r="G64" s="85"/>
    </row>
    <row r="65" spans="1:7" ht="12.75" customHeight="1">
      <c r="A65" s="64"/>
      <c r="B65" s="97" t="str">
        <f t="shared" si="1"/>
        <v>LIQUIDADOR FINANCIERO</v>
      </c>
      <c r="C65" s="53">
        <f t="shared" si="1"/>
        <v>1</v>
      </c>
      <c r="D65" s="53">
        <f t="shared" si="1"/>
        <v>1</v>
      </c>
      <c r="E65" s="99">
        <f>+(E43+E85)*0.0155</f>
        <v>67.166666666666657</v>
      </c>
      <c r="F65" s="97">
        <f>+C65*D65*E65</f>
        <v>67.166666666666657</v>
      </c>
      <c r="G65" s="85"/>
    </row>
    <row r="66" spans="1:7" ht="12.75" customHeight="1">
      <c r="A66" s="64"/>
      <c r="B66" s="486" t="s">
        <v>3</v>
      </c>
      <c r="C66" s="486"/>
      <c r="D66" s="486"/>
      <c r="E66" s="486"/>
      <c r="F66" s="259">
        <f>SUM(F64:F65)</f>
        <v>167.91666666666666</v>
      </c>
      <c r="G66" s="85"/>
    </row>
    <row r="67" spans="1:7" ht="12.75" customHeight="1">
      <c r="A67" s="64"/>
      <c r="B67" s="101"/>
      <c r="C67" s="85"/>
      <c r="D67" s="101"/>
      <c r="E67" s="86"/>
      <c r="F67" s="85"/>
      <c r="G67" s="85"/>
    </row>
    <row r="68" spans="1:7" ht="18" customHeight="1">
      <c r="A68" s="215"/>
      <c r="B68" s="216" t="s">
        <v>22</v>
      </c>
      <c r="C68" s="217"/>
      <c r="D68" s="217"/>
      <c r="E68" s="219"/>
      <c r="F68" s="220" t="s">
        <v>0</v>
      </c>
      <c r="G68" s="221">
        <f>+F77+F86</f>
        <v>1666.6666666666665</v>
      </c>
    </row>
    <row r="69" spans="1:7" ht="12.75" customHeight="1">
      <c r="A69" s="91"/>
      <c r="B69" s="92"/>
      <c r="C69" s="85"/>
      <c r="D69" s="85"/>
      <c r="E69" s="86"/>
      <c r="F69" s="85"/>
      <c r="G69" s="85"/>
    </row>
    <row r="70" spans="1:7" ht="12.75" customHeight="1">
      <c r="A70" s="102" t="s">
        <v>12</v>
      </c>
      <c r="B70" s="92" t="s">
        <v>142</v>
      </c>
      <c r="C70" s="85"/>
      <c r="D70" s="85"/>
      <c r="E70" s="86"/>
      <c r="F70" s="85"/>
      <c r="G70" s="85"/>
    </row>
    <row r="71" spans="1:7" ht="12.75" customHeight="1">
      <c r="A71" s="93"/>
      <c r="B71" s="103"/>
      <c r="C71" s="85"/>
      <c r="D71" s="85"/>
      <c r="E71" s="86"/>
      <c r="F71" s="85"/>
      <c r="G71" s="85"/>
    </row>
    <row r="72" spans="1:7" ht="12.75" customHeight="1">
      <c r="A72" s="64"/>
      <c r="B72" s="92" t="s">
        <v>44</v>
      </c>
      <c r="C72" s="78"/>
      <c r="D72" s="78"/>
      <c r="E72" s="94"/>
      <c r="F72" s="78"/>
      <c r="G72" s="85"/>
    </row>
    <row r="73" spans="1:7" ht="12.75" customHeight="1">
      <c r="A73" s="64"/>
      <c r="B73" s="92"/>
      <c r="C73" s="78"/>
      <c r="D73" s="78"/>
      <c r="E73" s="94"/>
      <c r="F73" s="78"/>
      <c r="G73" s="85"/>
    </row>
    <row r="74" spans="1:7" ht="12.75" customHeight="1">
      <c r="A74" s="64"/>
      <c r="B74" s="95" t="s">
        <v>45</v>
      </c>
      <c r="C74" s="96" t="s">
        <v>46</v>
      </c>
      <c r="D74" s="96" t="s">
        <v>47</v>
      </c>
      <c r="E74" s="96" t="s">
        <v>14</v>
      </c>
      <c r="F74" s="96" t="s">
        <v>4</v>
      </c>
      <c r="G74" s="85"/>
    </row>
    <row r="75" spans="1:7" ht="12.75" customHeight="1">
      <c r="A75" s="64"/>
      <c r="B75" s="117" t="str">
        <f t="shared" ref="B75:D76" si="2">+B42</f>
        <v>LIQUIDADOR TECNICO</v>
      </c>
      <c r="C75" s="99">
        <f t="shared" si="2"/>
        <v>1</v>
      </c>
      <c r="D75" s="99">
        <f t="shared" si="2"/>
        <v>1</v>
      </c>
      <c r="E75" s="99">
        <f>+E42/12</f>
        <v>500</v>
      </c>
      <c r="F75" s="117">
        <f>+C75*D75*E75</f>
        <v>500</v>
      </c>
      <c r="G75" s="85"/>
    </row>
    <row r="76" spans="1:7" ht="12.75" customHeight="1">
      <c r="A76" s="67"/>
      <c r="B76" s="97" t="str">
        <f t="shared" si="2"/>
        <v>LIQUIDADOR FINANCIERO</v>
      </c>
      <c r="C76" s="53">
        <f t="shared" si="2"/>
        <v>1</v>
      </c>
      <c r="D76" s="53">
        <f t="shared" si="2"/>
        <v>1</v>
      </c>
      <c r="E76" s="53">
        <f>+E43/12</f>
        <v>333.33333333333331</v>
      </c>
      <c r="F76" s="97">
        <f>+C76*D76*E76</f>
        <v>333.33333333333331</v>
      </c>
      <c r="G76" s="85"/>
    </row>
    <row r="77" spans="1:7" ht="12.75" customHeight="1">
      <c r="A77" s="64"/>
      <c r="B77" s="498" t="s">
        <v>3</v>
      </c>
      <c r="C77" s="498"/>
      <c r="D77" s="498"/>
      <c r="E77" s="498"/>
      <c r="F77" s="259">
        <f>SUM(F75:F76)</f>
        <v>833.33333333333326</v>
      </c>
      <c r="G77" s="85"/>
    </row>
    <row r="78" spans="1:7" ht="12.75" customHeight="1">
      <c r="A78" s="91"/>
      <c r="B78" s="92"/>
      <c r="C78" s="85"/>
      <c r="D78" s="85"/>
      <c r="E78" s="86"/>
      <c r="F78" s="85"/>
      <c r="G78" s="85"/>
    </row>
    <row r="79" spans="1:7" ht="12.75" customHeight="1">
      <c r="A79" s="102" t="s">
        <v>15</v>
      </c>
      <c r="B79" s="92" t="s">
        <v>141</v>
      </c>
      <c r="C79" s="85"/>
      <c r="D79" s="85"/>
      <c r="E79" s="86"/>
      <c r="F79" s="85"/>
      <c r="G79" s="85"/>
    </row>
    <row r="80" spans="1:7" ht="12.75" customHeight="1">
      <c r="A80" s="93"/>
      <c r="B80" s="103"/>
      <c r="C80" s="85"/>
      <c r="D80" s="85"/>
      <c r="E80" s="86"/>
      <c r="F80" s="85"/>
      <c r="G80" s="85"/>
    </row>
    <row r="81" spans="1:7" ht="12.75" customHeight="1">
      <c r="A81" s="64"/>
      <c r="B81" s="92" t="s">
        <v>44</v>
      </c>
      <c r="C81" s="78"/>
      <c r="D81" s="78"/>
      <c r="E81" s="94"/>
      <c r="F81" s="78"/>
      <c r="G81" s="85"/>
    </row>
    <row r="82" spans="1:7" ht="12.75" customHeight="1">
      <c r="A82" s="64"/>
      <c r="B82" s="92"/>
      <c r="C82" s="78"/>
      <c r="D82" s="78"/>
      <c r="E82" s="94"/>
      <c r="F82" s="78"/>
      <c r="G82" s="85"/>
    </row>
    <row r="83" spans="1:7" ht="12.75" customHeight="1">
      <c r="A83" s="64"/>
      <c r="B83" s="95" t="s">
        <v>45</v>
      </c>
      <c r="C83" s="96" t="s">
        <v>46</v>
      </c>
      <c r="D83" s="96" t="s">
        <v>47</v>
      </c>
      <c r="E83" s="96" t="s">
        <v>14</v>
      </c>
      <c r="F83" s="96" t="s">
        <v>4</v>
      </c>
      <c r="G83" s="85"/>
    </row>
    <row r="84" spans="1:7" ht="12.75" customHeight="1">
      <c r="A84" s="64"/>
      <c r="B84" s="117" t="str">
        <f t="shared" ref="B84:D85" si="3">+B42</f>
        <v>LIQUIDADOR TECNICO</v>
      </c>
      <c r="C84" s="99">
        <f t="shared" si="3"/>
        <v>1</v>
      </c>
      <c r="D84" s="99">
        <f t="shared" si="3"/>
        <v>1</v>
      </c>
      <c r="E84" s="99">
        <f>+E42/12</f>
        <v>500</v>
      </c>
      <c r="F84" s="117">
        <f>+C84*D84*E84</f>
        <v>500</v>
      </c>
      <c r="G84" s="85"/>
    </row>
    <row r="85" spans="1:7" ht="12.75" customHeight="1">
      <c r="A85" s="67"/>
      <c r="B85" s="97" t="str">
        <f t="shared" si="3"/>
        <v>LIQUIDADOR FINANCIERO</v>
      </c>
      <c r="C85" s="53">
        <f t="shared" si="3"/>
        <v>1</v>
      </c>
      <c r="D85" s="53">
        <f t="shared" si="3"/>
        <v>1</v>
      </c>
      <c r="E85" s="53">
        <f>+E43/12</f>
        <v>333.33333333333331</v>
      </c>
      <c r="F85" s="97">
        <f>+C85*D85*E85</f>
        <v>333.33333333333331</v>
      </c>
      <c r="G85" s="85"/>
    </row>
    <row r="86" spans="1:7" ht="12.75" customHeight="1">
      <c r="A86" s="64"/>
      <c r="B86" s="498" t="s">
        <v>3</v>
      </c>
      <c r="C86" s="498"/>
      <c r="D86" s="498"/>
      <c r="E86" s="498"/>
      <c r="F86" s="259">
        <f>SUM(F84:F85)</f>
        <v>833.33333333333326</v>
      </c>
      <c r="G86" s="85"/>
    </row>
    <row r="87" spans="1:7" ht="12.75" customHeight="1">
      <c r="A87" s="91"/>
      <c r="B87" s="92"/>
      <c r="C87" s="85"/>
      <c r="D87" s="85"/>
      <c r="E87" s="86"/>
      <c r="F87" s="85"/>
      <c r="G87" s="85"/>
    </row>
    <row r="88" spans="1:7" ht="18" customHeight="1">
      <c r="A88" s="215">
        <v>4</v>
      </c>
      <c r="B88" s="216" t="s">
        <v>110</v>
      </c>
      <c r="C88" s="217"/>
      <c r="D88" s="217"/>
      <c r="E88" s="219"/>
      <c r="F88" s="220" t="s">
        <v>0</v>
      </c>
      <c r="G88" s="221">
        <f>+G90</f>
        <v>1666.6666666666665</v>
      </c>
    </row>
    <row r="89" spans="1:7" ht="12.75" customHeight="1">
      <c r="A89" s="91"/>
      <c r="B89" s="92"/>
      <c r="C89" s="85"/>
      <c r="D89" s="85"/>
      <c r="E89" s="86"/>
      <c r="F89" s="85"/>
      <c r="G89" s="85"/>
    </row>
    <row r="90" spans="1:7" ht="14.25" customHeight="1">
      <c r="A90" s="91">
        <v>4.01</v>
      </c>
      <c r="B90" s="92" t="s">
        <v>140</v>
      </c>
      <c r="C90" s="78"/>
      <c r="D90" s="78"/>
      <c r="E90" s="94"/>
      <c r="F90" s="87" t="s">
        <v>0</v>
      </c>
      <c r="G90" s="88">
        <f>+F97</f>
        <v>1666.6666666666665</v>
      </c>
    </row>
    <row r="91" spans="1:7" ht="12.75" customHeight="1">
      <c r="A91" s="102"/>
      <c r="B91" s="92"/>
      <c r="C91" s="78"/>
      <c r="D91" s="78"/>
      <c r="E91" s="94"/>
      <c r="F91" s="78"/>
      <c r="G91" s="85"/>
    </row>
    <row r="92" spans="1:7" ht="12.75" customHeight="1">
      <c r="A92" s="102"/>
      <c r="B92" s="92" t="s">
        <v>44</v>
      </c>
      <c r="C92" s="78"/>
      <c r="D92" s="78"/>
      <c r="E92" s="94"/>
      <c r="F92" s="78"/>
      <c r="G92" s="85"/>
    </row>
    <row r="93" spans="1:7" ht="14.25" customHeight="1">
      <c r="A93" s="64"/>
      <c r="B93" s="92"/>
      <c r="C93" s="78"/>
      <c r="D93" s="78"/>
      <c r="E93" s="94"/>
      <c r="F93" s="78"/>
      <c r="G93" s="85"/>
    </row>
    <row r="94" spans="1:7" ht="14.25" customHeight="1">
      <c r="A94" s="64"/>
      <c r="B94" s="95" t="s">
        <v>45</v>
      </c>
      <c r="C94" s="96" t="s">
        <v>46</v>
      </c>
      <c r="D94" s="96" t="s">
        <v>47</v>
      </c>
      <c r="E94" s="96" t="s">
        <v>14</v>
      </c>
      <c r="F94" s="96" t="s">
        <v>4</v>
      </c>
      <c r="G94" s="85"/>
    </row>
    <row r="95" spans="1:7" ht="14.25" customHeight="1">
      <c r="A95" s="64"/>
      <c r="B95" s="117" t="str">
        <f t="shared" ref="B95:D96" si="4">+B42</f>
        <v>LIQUIDADOR TECNICO</v>
      </c>
      <c r="C95" s="99">
        <f t="shared" si="4"/>
        <v>1</v>
      </c>
      <c r="D95" s="99">
        <f t="shared" si="4"/>
        <v>1</v>
      </c>
      <c r="E95" s="99">
        <f>+E42/12*2</f>
        <v>1000</v>
      </c>
      <c r="F95" s="117">
        <f>+C95*D95*E95</f>
        <v>1000</v>
      </c>
      <c r="G95" s="85"/>
    </row>
    <row r="96" spans="1:7" ht="14.25" customHeight="1">
      <c r="A96" s="64"/>
      <c r="B96" s="97" t="str">
        <f t="shared" si="4"/>
        <v>LIQUIDADOR FINANCIERO</v>
      </c>
      <c r="C96" s="53">
        <f t="shared" si="4"/>
        <v>1</v>
      </c>
      <c r="D96" s="53">
        <f t="shared" si="4"/>
        <v>1</v>
      </c>
      <c r="E96" s="53">
        <f>+E43/12*2</f>
        <v>666.66666666666663</v>
      </c>
      <c r="F96" s="97">
        <f>+C96*D96*E96</f>
        <v>666.66666666666663</v>
      </c>
      <c r="G96" s="85"/>
    </row>
    <row r="97" spans="1:8" ht="14.25" customHeight="1">
      <c r="A97" s="67"/>
      <c r="B97" s="490" t="s">
        <v>3</v>
      </c>
      <c r="C97" s="490"/>
      <c r="D97" s="490"/>
      <c r="E97" s="490"/>
      <c r="F97" s="259">
        <f>SUM(F95:F96)</f>
        <v>1666.6666666666665</v>
      </c>
      <c r="G97" s="85"/>
    </row>
    <row r="98" spans="1:8" ht="14.25" customHeight="1">
      <c r="A98" s="64"/>
      <c r="B98" s="85"/>
      <c r="C98" s="85"/>
      <c r="D98" s="85"/>
      <c r="E98" s="86"/>
      <c r="F98" s="85"/>
      <c r="G98" s="85"/>
    </row>
    <row r="99" spans="1:8" s="182" customFormat="1" ht="15.75">
      <c r="A99" s="242" t="s">
        <v>206</v>
      </c>
      <c r="B99" s="243"/>
      <c r="C99" s="239"/>
      <c r="D99" s="239"/>
      <c r="E99" s="240"/>
      <c r="F99" s="240" t="s">
        <v>0</v>
      </c>
      <c r="G99" s="241">
        <f>+G102+G108</f>
        <v>1564.5</v>
      </c>
      <c r="H99" s="208"/>
    </row>
    <row r="100" spans="1:8" ht="12.75" customHeight="1">
      <c r="A100" s="91"/>
      <c r="B100" s="92"/>
      <c r="C100" s="85"/>
      <c r="D100" s="85"/>
      <c r="E100" s="86"/>
      <c r="F100" s="85"/>
      <c r="G100" s="85"/>
    </row>
    <row r="101" spans="1:8" ht="12.75" customHeight="1">
      <c r="A101" s="64"/>
      <c r="B101" s="85"/>
      <c r="C101" s="85"/>
      <c r="D101" s="85"/>
      <c r="E101" s="86"/>
      <c r="F101" s="85"/>
      <c r="G101" s="85"/>
    </row>
    <row r="102" spans="1:8" ht="15" customHeight="1">
      <c r="A102" s="127">
        <v>2</v>
      </c>
      <c r="B102" s="128" t="s">
        <v>133</v>
      </c>
      <c r="C102" s="136"/>
      <c r="D102" s="137"/>
      <c r="E102" s="138"/>
      <c r="F102" s="129" t="s">
        <v>0</v>
      </c>
      <c r="G102" s="130">
        <f>+F106</f>
        <v>580</v>
      </c>
    </row>
    <row r="103" spans="1:8" ht="12.75" customHeight="1">
      <c r="A103" s="131"/>
      <c r="B103" s="132"/>
      <c r="C103" s="139"/>
      <c r="D103" s="140"/>
      <c r="E103" s="139"/>
      <c r="F103" s="140"/>
    </row>
    <row r="104" spans="1:8" ht="18" customHeight="1">
      <c r="A104" s="131"/>
      <c r="B104" s="134" t="s">
        <v>24</v>
      </c>
      <c r="C104" s="134" t="s">
        <v>2</v>
      </c>
      <c r="D104" s="134" t="s">
        <v>25</v>
      </c>
      <c r="E104" s="134" t="s">
        <v>5</v>
      </c>
      <c r="F104" s="134" t="s">
        <v>4</v>
      </c>
    </row>
    <row r="105" spans="1:8" ht="18" customHeight="1">
      <c r="A105" s="131"/>
      <c r="B105" s="186" t="s">
        <v>159</v>
      </c>
      <c r="C105" s="99" t="s">
        <v>6</v>
      </c>
      <c r="D105" s="187">
        <v>40</v>
      </c>
      <c r="E105" s="99">
        <v>14.5</v>
      </c>
      <c r="F105" s="188">
        <f>+D105*E105</f>
        <v>580</v>
      </c>
    </row>
    <row r="106" spans="1:8" ht="12.75" customHeight="1">
      <c r="A106" s="133"/>
      <c r="B106" s="486" t="s">
        <v>3</v>
      </c>
      <c r="C106" s="486"/>
      <c r="D106" s="486"/>
      <c r="E106" s="486"/>
      <c r="F106" s="265">
        <f>SUM(F105:F105)</f>
        <v>580</v>
      </c>
    </row>
    <row r="107" spans="1:8" ht="12.75" customHeight="1">
      <c r="A107" s="133"/>
      <c r="B107" s="142"/>
      <c r="C107" s="126"/>
      <c r="D107" s="143"/>
      <c r="E107" s="126"/>
      <c r="F107" s="143"/>
    </row>
    <row r="108" spans="1:8" ht="18" customHeight="1">
      <c r="A108" s="83">
        <v>3</v>
      </c>
      <c r="B108" s="128" t="s">
        <v>55</v>
      </c>
      <c r="C108" s="85"/>
      <c r="D108" s="85"/>
      <c r="E108" s="16"/>
      <c r="F108" s="87" t="s">
        <v>0</v>
      </c>
      <c r="G108" s="88">
        <f>+F123</f>
        <v>984.5</v>
      </c>
    </row>
    <row r="109" spans="1:8" ht="12.75" customHeight="1">
      <c r="A109" s="91"/>
      <c r="B109" s="92"/>
      <c r="C109" s="85"/>
      <c r="D109" s="85"/>
      <c r="E109" s="86"/>
      <c r="F109" s="85"/>
      <c r="G109" s="78"/>
    </row>
    <row r="110" spans="1:8" ht="12.75" customHeight="1">
      <c r="A110" s="64"/>
      <c r="B110" s="95" t="s">
        <v>53</v>
      </c>
      <c r="C110" s="96" t="s">
        <v>63</v>
      </c>
      <c r="D110" s="96" t="s">
        <v>25</v>
      </c>
      <c r="E110" s="96" t="s">
        <v>5</v>
      </c>
      <c r="F110" s="96" t="s">
        <v>4</v>
      </c>
      <c r="G110" s="78"/>
    </row>
    <row r="111" spans="1:8">
      <c r="A111" s="64"/>
      <c r="B111" s="54" t="s">
        <v>105</v>
      </c>
      <c r="C111" s="110" t="s">
        <v>2</v>
      </c>
      <c r="D111" s="110">
        <v>15</v>
      </c>
      <c r="E111" s="110">
        <v>1.5</v>
      </c>
      <c r="F111" s="54">
        <f t="shared" ref="F111:F122" si="5">+D111*E111</f>
        <v>22.5</v>
      </c>
      <c r="G111" s="78"/>
    </row>
    <row r="112" spans="1:8" ht="12.75" customHeight="1">
      <c r="A112" s="64"/>
      <c r="B112" s="54" t="s">
        <v>59</v>
      </c>
      <c r="C112" s="110" t="s">
        <v>2</v>
      </c>
      <c r="D112" s="110">
        <v>10</v>
      </c>
      <c r="E112" s="110">
        <v>35</v>
      </c>
      <c r="F112" s="54">
        <f t="shared" si="5"/>
        <v>350</v>
      </c>
      <c r="G112" s="78"/>
    </row>
    <row r="113" spans="1:8">
      <c r="A113" s="64"/>
      <c r="B113" s="54" t="s">
        <v>57</v>
      </c>
      <c r="C113" s="110" t="s">
        <v>2</v>
      </c>
      <c r="D113" s="110">
        <v>3</v>
      </c>
      <c r="E113" s="110">
        <v>4</v>
      </c>
      <c r="F113" s="54">
        <f t="shared" si="5"/>
        <v>12</v>
      </c>
      <c r="G113" s="78"/>
    </row>
    <row r="114" spans="1:8">
      <c r="A114" s="64"/>
      <c r="B114" s="54" t="s">
        <v>101</v>
      </c>
      <c r="C114" s="110" t="s">
        <v>2</v>
      </c>
      <c r="D114" s="110">
        <v>5</v>
      </c>
      <c r="E114" s="110">
        <v>4</v>
      </c>
      <c r="F114" s="54">
        <f t="shared" si="5"/>
        <v>20</v>
      </c>
      <c r="G114" s="78"/>
    </row>
    <row r="115" spans="1:8" ht="13.5" customHeight="1">
      <c r="A115" s="64"/>
      <c r="B115" s="54" t="s">
        <v>91</v>
      </c>
      <c r="C115" s="110" t="s">
        <v>2</v>
      </c>
      <c r="D115" s="110">
        <v>15</v>
      </c>
      <c r="E115" s="110">
        <v>1</v>
      </c>
      <c r="F115" s="54">
        <f t="shared" si="5"/>
        <v>15</v>
      </c>
      <c r="G115" s="78"/>
    </row>
    <row r="116" spans="1:8" ht="13.5" customHeight="1">
      <c r="A116" s="64"/>
      <c r="B116" s="54" t="s">
        <v>122</v>
      </c>
      <c r="C116" s="110" t="s">
        <v>332</v>
      </c>
      <c r="D116" s="110">
        <v>1</v>
      </c>
      <c r="E116" s="110">
        <v>50</v>
      </c>
      <c r="F116" s="54">
        <f t="shared" si="5"/>
        <v>50</v>
      </c>
      <c r="G116" s="78"/>
    </row>
    <row r="117" spans="1:8" ht="12" customHeight="1">
      <c r="A117" s="64"/>
      <c r="B117" s="54" t="s">
        <v>62</v>
      </c>
      <c r="C117" s="110" t="s">
        <v>56</v>
      </c>
      <c r="D117" s="110">
        <v>6</v>
      </c>
      <c r="E117" s="110">
        <v>45</v>
      </c>
      <c r="F117" s="54">
        <f t="shared" si="5"/>
        <v>270</v>
      </c>
      <c r="G117" s="78"/>
    </row>
    <row r="118" spans="1:8">
      <c r="A118" s="64"/>
      <c r="B118" s="54" t="s">
        <v>99</v>
      </c>
      <c r="C118" s="110" t="s">
        <v>2</v>
      </c>
      <c r="D118" s="110">
        <v>4</v>
      </c>
      <c r="E118" s="110">
        <v>5</v>
      </c>
      <c r="F118" s="54">
        <f t="shared" si="5"/>
        <v>20</v>
      </c>
      <c r="G118" s="78"/>
    </row>
    <row r="119" spans="1:8">
      <c r="A119" s="64"/>
      <c r="B119" s="54" t="s">
        <v>368</v>
      </c>
      <c r="C119" s="110" t="s">
        <v>2</v>
      </c>
      <c r="D119" s="110">
        <v>2</v>
      </c>
      <c r="E119" s="110">
        <v>60</v>
      </c>
      <c r="F119" s="54">
        <f t="shared" si="5"/>
        <v>120</v>
      </c>
      <c r="G119" s="78"/>
    </row>
    <row r="120" spans="1:8">
      <c r="A120" s="64"/>
      <c r="B120" s="54" t="s">
        <v>96</v>
      </c>
      <c r="C120" s="110" t="s">
        <v>2</v>
      </c>
      <c r="D120" s="110">
        <v>5</v>
      </c>
      <c r="E120" s="110">
        <v>15</v>
      </c>
      <c r="F120" s="54">
        <f t="shared" si="5"/>
        <v>75</v>
      </c>
      <c r="G120" s="78"/>
    </row>
    <row r="121" spans="1:8">
      <c r="A121" s="64"/>
      <c r="B121" s="54" t="s">
        <v>107</v>
      </c>
      <c r="C121" s="110" t="s">
        <v>83</v>
      </c>
      <c r="D121" s="110">
        <v>3</v>
      </c>
      <c r="E121" s="110">
        <v>5</v>
      </c>
      <c r="F121" s="54">
        <f t="shared" si="5"/>
        <v>15</v>
      </c>
      <c r="G121" s="78"/>
    </row>
    <row r="122" spans="1:8">
      <c r="A122" s="64"/>
      <c r="B122" s="54" t="s">
        <v>97</v>
      </c>
      <c r="C122" s="110" t="s">
        <v>2</v>
      </c>
      <c r="D122" s="110">
        <v>3</v>
      </c>
      <c r="E122" s="110">
        <v>5</v>
      </c>
      <c r="F122" s="54">
        <f t="shared" si="5"/>
        <v>15</v>
      </c>
      <c r="G122" s="78"/>
    </row>
    <row r="123" spans="1:8" ht="12.75" customHeight="1">
      <c r="A123" s="93"/>
      <c r="B123" s="486" t="s">
        <v>3</v>
      </c>
      <c r="C123" s="486"/>
      <c r="D123" s="486"/>
      <c r="E123" s="486"/>
      <c r="F123" s="259">
        <f>SUM(F111:F122)</f>
        <v>984.5</v>
      </c>
      <c r="G123" s="78"/>
    </row>
    <row r="124" spans="1:8" ht="15.75" customHeight="1">
      <c r="A124" s="127"/>
      <c r="B124" s="91"/>
      <c r="C124" s="92"/>
      <c r="D124" s="144"/>
      <c r="E124" s="145"/>
      <c r="F124" s="129"/>
      <c r="G124" s="130"/>
    </row>
    <row r="125" spans="1:8" ht="12.75" customHeight="1">
      <c r="A125" s="64"/>
      <c r="B125" s="118"/>
      <c r="C125" s="118"/>
      <c r="D125" s="118"/>
      <c r="E125" s="118"/>
      <c r="F125" s="85"/>
      <c r="G125" s="78"/>
    </row>
    <row r="126" spans="1:8" s="182" customFormat="1" ht="15.75">
      <c r="A126" s="242" t="s">
        <v>207</v>
      </c>
      <c r="B126" s="243"/>
      <c r="C126" s="239"/>
      <c r="D126" s="239"/>
      <c r="E126" s="240"/>
      <c r="F126" s="240" t="s">
        <v>0</v>
      </c>
      <c r="G126" s="241">
        <f>+G134</f>
        <v>1250</v>
      </c>
      <c r="H126" s="208"/>
    </row>
    <row r="127" spans="1:8" ht="16.5" customHeight="1">
      <c r="A127" s="127"/>
      <c r="B127" s="154"/>
      <c r="C127" s="146"/>
      <c r="D127" s="146"/>
      <c r="E127" s="145"/>
      <c r="F127" s="129"/>
      <c r="G127" s="130"/>
    </row>
    <row r="128" spans="1:8" ht="13.5" hidden="1" customHeight="1">
      <c r="A128" s="127" t="s">
        <v>34</v>
      </c>
      <c r="B128" s="128" t="s">
        <v>75</v>
      </c>
      <c r="C128" s="146"/>
      <c r="D128" s="146"/>
      <c r="E128" s="145"/>
      <c r="F128" s="129" t="s">
        <v>0</v>
      </c>
      <c r="G128" s="130">
        <f>+F132</f>
        <v>0</v>
      </c>
    </row>
    <row r="129" spans="1:7" ht="13.5" hidden="1" customHeight="1">
      <c r="A129" s="131"/>
      <c r="B129" s="147"/>
      <c r="C129" s="148"/>
      <c r="D129" s="148"/>
      <c r="E129" s="149"/>
      <c r="F129" s="148"/>
    </row>
    <row r="130" spans="1:7" ht="12.75" hidden="1" customHeight="1">
      <c r="A130" s="133"/>
      <c r="B130" s="150" t="s">
        <v>24</v>
      </c>
      <c r="C130" s="151" t="s">
        <v>31</v>
      </c>
      <c r="D130" s="152" t="s">
        <v>31</v>
      </c>
      <c r="E130" s="152" t="s">
        <v>49</v>
      </c>
      <c r="F130" s="152" t="s">
        <v>4</v>
      </c>
    </row>
    <row r="131" spans="1:7" hidden="1">
      <c r="A131" s="64"/>
      <c r="B131" s="155"/>
      <c r="C131" s="156"/>
      <c r="D131" s="157">
        <v>0</v>
      </c>
      <c r="E131" s="156">
        <v>0</v>
      </c>
      <c r="F131" s="157">
        <f>+D131*E131</f>
        <v>0</v>
      </c>
      <c r="G131" s="78"/>
    </row>
    <row r="132" spans="1:7" ht="13.5" hidden="1" customHeight="1">
      <c r="A132" s="133"/>
      <c r="B132" s="486" t="s">
        <v>3</v>
      </c>
      <c r="C132" s="486"/>
      <c r="D132" s="486"/>
      <c r="E132" s="486"/>
      <c r="F132" s="98">
        <f>SUM(F131:F131)</f>
        <v>0</v>
      </c>
    </row>
    <row r="133" spans="1:7" ht="12" hidden="1" customHeight="1">
      <c r="A133" s="133"/>
      <c r="B133" s="81"/>
      <c r="C133" s="81"/>
      <c r="D133" s="81"/>
      <c r="E133" s="81"/>
      <c r="F133" s="153"/>
    </row>
    <row r="134" spans="1:7" ht="16.5" customHeight="1">
      <c r="A134" s="102" t="s">
        <v>12</v>
      </c>
      <c r="B134" s="92" t="s">
        <v>33</v>
      </c>
      <c r="C134" s="146"/>
      <c r="D134" s="146"/>
      <c r="E134" s="145"/>
      <c r="F134" s="129" t="s">
        <v>0</v>
      </c>
      <c r="G134" s="130">
        <f>F139</f>
        <v>1250</v>
      </c>
    </row>
    <row r="135" spans="1:7" ht="16.5" customHeight="1">
      <c r="A135" s="127"/>
      <c r="B135" s="95" t="s">
        <v>53</v>
      </c>
      <c r="C135" s="96" t="s">
        <v>63</v>
      </c>
      <c r="D135" s="96" t="s">
        <v>25</v>
      </c>
      <c r="E135" s="96" t="s">
        <v>5</v>
      </c>
      <c r="F135" s="96" t="s">
        <v>4</v>
      </c>
      <c r="G135" s="130"/>
    </row>
    <row r="136" spans="1:7" ht="16.5" customHeight="1">
      <c r="A136" s="127"/>
      <c r="B136" s="52" t="s">
        <v>134</v>
      </c>
      <c r="C136" s="53" t="s">
        <v>333</v>
      </c>
      <c r="D136" s="53">
        <v>1</v>
      </c>
      <c r="E136" s="53">
        <v>500</v>
      </c>
      <c r="F136" s="107">
        <f>+D136*E136</f>
        <v>500</v>
      </c>
      <c r="G136" s="130"/>
    </row>
    <row r="137" spans="1:7" ht="16.5" customHeight="1">
      <c r="A137" s="127"/>
      <c r="B137" s="121" t="s">
        <v>382</v>
      </c>
      <c r="C137" s="53" t="s">
        <v>333</v>
      </c>
      <c r="D137" s="53">
        <v>1</v>
      </c>
      <c r="E137" s="53">
        <f>250</f>
        <v>250</v>
      </c>
      <c r="F137" s="107">
        <f>+D137*E137</f>
        <v>250</v>
      </c>
      <c r="G137" s="130"/>
    </row>
    <row r="138" spans="1:7" ht="16.5" customHeight="1">
      <c r="A138" s="127"/>
      <c r="B138" s="121" t="s">
        <v>329</v>
      </c>
      <c r="C138" s="53" t="s">
        <v>333</v>
      </c>
      <c r="D138" s="53">
        <v>1</v>
      </c>
      <c r="E138" s="53">
        <v>500</v>
      </c>
      <c r="F138" s="107">
        <f>+D138*E138</f>
        <v>500</v>
      </c>
      <c r="G138" s="130"/>
    </row>
    <row r="139" spans="1:7" ht="16.5" customHeight="1">
      <c r="A139" s="127"/>
      <c r="B139" s="495" t="s">
        <v>3</v>
      </c>
      <c r="C139" s="496"/>
      <c r="D139" s="496"/>
      <c r="E139" s="497"/>
      <c r="F139" s="259">
        <f>SUM(F136:F138)</f>
        <v>1250</v>
      </c>
      <c r="G139" s="130"/>
    </row>
    <row r="140" spans="1:7" ht="12" customHeight="1">
      <c r="A140" s="133"/>
      <c r="B140" s="81"/>
      <c r="C140" s="81"/>
      <c r="D140" s="81"/>
      <c r="E140" s="81"/>
      <c r="F140" s="153"/>
    </row>
    <row r="141" spans="1:7" ht="12.75" customHeight="1">
      <c r="A141" s="93"/>
      <c r="B141" s="118"/>
      <c r="C141" s="118"/>
      <c r="D141" s="118"/>
      <c r="E141" s="118"/>
      <c r="F141" s="85"/>
      <c r="G141" s="78"/>
    </row>
    <row r="142" spans="1:7" ht="12.75" customHeight="1">
      <c r="A142" s="93"/>
      <c r="B142" s="118"/>
      <c r="C142" s="118"/>
      <c r="D142" s="118"/>
      <c r="E142" s="118"/>
      <c r="G142" s="78"/>
    </row>
    <row r="143" spans="1:7" ht="15" hidden="1" customHeight="1">
      <c r="A143" s="83" t="s">
        <v>34</v>
      </c>
      <c r="B143" s="84" t="s">
        <v>130</v>
      </c>
      <c r="C143" s="85"/>
      <c r="D143" s="85"/>
      <c r="E143" s="16"/>
      <c r="F143" s="87" t="s">
        <v>0</v>
      </c>
      <c r="G143" s="158">
        <f>F151</f>
        <v>6445.5</v>
      </c>
    </row>
    <row r="144" spans="1:7" ht="12.75" hidden="1" customHeight="1">
      <c r="A144" s="91"/>
      <c r="B144" s="92"/>
      <c r="C144" s="85"/>
      <c r="D144" s="85"/>
      <c r="E144" s="86"/>
      <c r="F144" s="85"/>
      <c r="G144" s="78"/>
    </row>
    <row r="145" spans="1:9" ht="12.75" hidden="1" customHeight="1">
      <c r="A145" s="91">
        <v>1</v>
      </c>
      <c r="B145" s="92" t="s">
        <v>81</v>
      </c>
      <c r="C145" s="85"/>
      <c r="D145" s="85"/>
      <c r="E145" s="86"/>
      <c r="F145" s="85"/>
      <c r="G145" s="78"/>
    </row>
    <row r="146" spans="1:9" ht="12.75" hidden="1" customHeight="1">
      <c r="A146" s="91"/>
      <c r="B146" s="92"/>
      <c r="C146" s="85"/>
      <c r="D146" s="85"/>
      <c r="E146" s="86"/>
      <c r="F146" s="85"/>
      <c r="G146" s="78"/>
    </row>
    <row r="147" spans="1:9" ht="12.75" hidden="1" customHeight="1">
      <c r="A147" s="91"/>
      <c r="B147" s="95" t="s">
        <v>53</v>
      </c>
      <c r="C147" s="96" t="s">
        <v>63</v>
      </c>
      <c r="D147" s="96" t="s">
        <v>25</v>
      </c>
      <c r="E147" s="96" t="s">
        <v>5</v>
      </c>
      <c r="F147" s="96" t="s">
        <v>4</v>
      </c>
      <c r="G147" s="78"/>
    </row>
    <row r="148" spans="1:9" ht="14.25" hidden="1" customHeight="1">
      <c r="A148" s="91"/>
      <c r="B148" s="121" t="s">
        <v>128</v>
      </c>
      <c r="C148" s="14" t="s">
        <v>63</v>
      </c>
      <c r="D148" s="86">
        <v>1</v>
      </c>
      <c r="E148" s="53">
        <v>165</v>
      </c>
      <c r="F148" s="159">
        <f>D148*E148</f>
        <v>165</v>
      </c>
      <c r="G148" s="78"/>
    </row>
    <row r="149" spans="1:9" ht="14.25" hidden="1" customHeight="1">
      <c r="A149" s="91"/>
      <c r="B149" s="160" t="s">
        <v>127</v>
      </c>
      <c r="C149" s="14" t="s">
        <v>63</v>
      </c>
      <c r="D149" s="86">
        <v>1</v>
      </c>
      <c r="E149" s="53">
        <v>5600</v>
      </c>
      <c r="F149" s="159">
        <f>D149*E149</f>
        <v>5600</v>
      </c>
      <c r="G149" s="78"/>
    </row>
    <row r="150" spans="1:9" ht="12.75" hidden="1" customHeight="1">
      <c r="A150" s="91"/>
      <c r="B150" s="161" t="s">
        <v>114</v>
      </c>
      <c r="C150" s="100" t="s">
        <v>63</v>
      </c>
      <c r="D150" s="162">
        <v>1</v>
      </c>
      <c r="E150" s="100">
        <v>680.5</v>
      </c>
      <c r="F150" s="163">
        <f>+D150*E150</f>
        <v>680.5</v>
      </c>
      <c r="G150" s="78"/>
    </row>
    <row r="151" spans="1:9" ht="12.75" hidden="1" customHeight="1">
      <c r="A151" s="91"/>
      <c r="B151" s="495" t="s">
        <v>3</v>
      </c>
      <c r="C151" s="496"/>
      <c r="D151" s="496"/>
      <c r="E151" s="497"/>
      <c r="F151" s="98">
        <f>SUM(F148:F150)</f>
        <v>6445.5</v>
      </c>
      <c r="G151" s="78"/>
    </row>
    <row r="152" spans="1:9" ht="12.75" hidden="1" customHeight="1">
      <c r="A152" s="93"/>
      <c r="B152" s="118"/>
      <c r="C152" s="118"/>
      <c r="D152" s="118"/>
      <c r="E152" s="118"/>
      <c r="F152" s="85"/>
      <c r="G152" s="78"/>
    </row>
    <row r="153" spans="1:9" ht="12.75" hidden="1" customHeight="1">
      <c r="A153" s="93"/>
      <c r="B153" s="118"/>
      <c r="C153" s="118"/>
      <c r="D153" s="118"/>
      <c r="E153" s="118"/>
      <c r="F153" s="85"/>
      <c r="G153" s="78"/>
    </row>
    <row r="154" spans="1:9" ht="15.75">
      <c r="A154" s="499" t="s">
        <v>157</v>
      </c>
      <c r="B154" s="499"/>
      <c r="C154" s="499"/>
      <c r="D154" s="499"/>
      <c r="E154" s="499"/>
      <c r="F154" s="87" t="s">
        <v>0</v>
      </c>
      <c r="G154" s="164">
        <f>+G19</f>
        <v>17290.75</v>
      </c>
      <c r="I154" s="63">
        <f>RESUMEN!G29</f>
        <v>342113.98833333334</v>
      </c>
    </row>
    <row r="157" spans="1:9" ht="15.75">
      <c r="G157" s="164"/>
    </row>
    <row r="158" spans="1:9" ht="15.75">
      <c r="G158" s="164"/>
    </row>
    <row r="159" spans="1:9" ht="15.75">
      <c r="A159" s="262" t="s">
        <v>278</v>
      </c>
      <c r="B159" s="262" t="s">
        <v>270</v>
      </c>
      <c r="C159" s="263" t="s">
        <v>272</v>
      </c>
      <c r="G159" s="164"/>
    </row>
    <row r="160" spans="1:9" ht="15.75">
      <c r="A160" s="261">
        <v>1</v>
      </c>
      <c r="B160" s="260" t="s">
        <v>271</v>
      </c>
      <c r="C160" s="260" t="s">
        <v>273</v>
      </c>
      <c r="G160" s="164"/>
    </row>
    <row r="161" spans="1:7" ht="15.75">
      <c r="A161" s="261">
        <v>2</v>
      </c>
      <c r="B161" s="260" t="s">
        <v>274</v>
      </c>
      <c r="C161" s="260" t="s">
        <v>275</v>
      </c>
      <c r="G161" s="164"/>
    </row>
    <row r="162" spans="1:7" ht="15.75">
      <c r="A162" s="261">
        <v>3</v>
      </c>
      <c r="B162" s="260" t="s">
        <v>276</v>
      </c>
      <c r="C162" s="260" t="s">
        <v>277</v>
      </c>
      <c r="F162" s="80"/>
      <c r="G162" s="164"/>
    </row>
    <row r="163" spans="1:7">
      <c r="A163" s="73"/>
    </row>
  </sheetData>
  <mergeCells count="18">
    <mergeCell ref="A3:G3"/>
    <mergeCell ref="B77:E77"/>
    <mergeCell ref="A29:G29"/>
    <mergeCell ref="C14:F14"/>
    <mergeCell ref="B19:F19"/>
    <mergeCell ref="B123:E123"/>
    <mergeCell ref="A27:G27"/>
    <mergeCell ref="B97:E97"/>
    <mergeCell ref="C10:G11"/>
    <mergeCell ref="A154:E154"/>
    <mergeCell ref="B66:E66"/>
    <mergeCell ref="B56:E56"/>
    <mergeCell ref="B44:E44"/>
    <mergeCell ref="B106:E106"/>
    <mergeCell ref="B139:E139"/>
    <mergeCell ref="B151:E151"/>
    <mergeCell ref="B86:E86"/>
    <mergeCell ref="B132:E132"/>
  </mergeCells>
  <phoneticPr fontId="0" type="noConversion"/>
  <printOptions horizontalCentered="1"/>
  <pageMargins left="0.98425196850393704" right="0.98425196850393704" top="1.2598425196850394" bottom="0.98425196850393704" header="0" footer="0"/>
  <pageSetup paperSize="9" scale="61" orientation="portrait" r:id="rId1"/>
  <headerFooter alignWithMargins="0"/>
  <rowBreaks count="3" manualBreakCount="3">
    <brk id="23" max="6" man="1"/>
    <brk id="87" max="6" man="1"/>
    <brk id="155" max="6" man="1"/>
  </rowBreak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9">
    <tabColor indexed="43"/>
  </sheetPr>
  <dimension ref="A1:I208"/>
  <sheetViews>
    <sheetView view="pageBreakPreview" topLeftCell="A4" zoomScale="82" zoomScaleSheetLayoutView="82" workbookViewId="0">
      <selection activeCell="B16" sqref="B16"/>
    </sheetView>
  </sheetViews>
  <sheetFormatPr baseColWidth="10" defaultColWidth="11.42578125" defaultRowHeight="12.75"/>
  <cols>
    <col min="1" max="1" width="7.5703125" style="70" customWidth="1"/>
    <col min="2" max="2" width="57" style="70" customWidth="1"/>
    <col min="3" max="3" width="18" style="70" customWidth="1"/>
    <col min="4" max="4" width="15.7109375" style="70" customWidth="1"/>
    <col min="5" max="5" width="11.140625" style="73" customWidth="1"/>
    <col min="6" max="6" width="14.7109375" style="70" customWidth="1"/>
    <col min="7" max="7" width="16.85546875" style="70" customWidth="1"/>
    <col min="8" max="16384" width="11.42578125" style="63"/>
  </cols>
  <sheetData>
    <row r="1" spans="1:7" ht="27" customHeight="1">
      <c r="A1" s="501" t="s">
        <v>169</v>
      </c>
      <c r="B1" s="501"/>
      <c r="C1" s="501"/>
      <c r="D1" s="501"/>
      <c r="E1" s="501"/>
      <c r="F1" s="501"/>
      <c r="G1" s="501"/>
    </row>
    <row r="2" spans="1:7" ht="18" customHeight="1">
      <c r="A2" s="65"/>
      <c r="B2" s="65"/>
      <c r="C2" s="65"/>
      <c r="D2" s="65"/>
      <c r="E2" s="66"/>
      <c r="F2" s="65"/>
      <c r="G2" s="65"/>
    </row>
    <row r="3" spans="1:7" ht="18" customHeight="1">
      <c r="B3" s="68"/>
      <c r="C3" s="69"/>
      <c r="D3" s="65"/>
      <c r="E3" s="66"/>
      <c r="F3" s="65"/>
    </row>
    <row r="4" spans="1:7" ht="18" customHeight="1">
      <c r="B4" s="68" t="s">
        <v>35</v>
      </c>
      <c r="C4" s="30" t="str">
        <f>'R'!C9</f>
        <v>:</v>
      </c>
      <c r="D4" s="65"/>
      <c r="E4" s="66"/>
      <c r="F4" s="65"/>
      <c r="G4" s="65"/>
    </row>
    <row r="5" spans="1:7" ht="18" customHeight="1">
      <c r="B5" s="68" t="s">
        <v>64</v>
      </c>
      <c r="C5" s="31" t="e">
        <f>'R'!#REF!</f>
        <v>#REF!</v>
      </c>
      <c r="G5" s="33" t="s">
        <v>1</v>
      </c>
    </row>
    <row r="6" spans="1:7" ht="18" customHeight="1">
      <c r="B6" s="68" t="s">
        <v>65</v>
      </c>
      <c r="C6" s="30" t="str">
        <f>'R'!C10</f>
        <v>:22 EDUCACIÓN</v>
      </c>
      <c r="G6" s="33" t="s">
        <v>1</v>
      </c>
    </row>
    <row r="7" spans="1:7" ht="18" customHeight="1">
      <c r="B7" s="29" t="s">
        <v>66</v>
      </c>
      <c r="C7" s="30" t="str">
        <f>'R'!C11</f>
        <v>:047 EDUCACIÓN BÁSICA</v>
      </c>
      <c r="G7" s="33"/>
    </row>
    <row r="8" spans="1:7" ht="18" customHeight="1">
      <c r="B8" s="29" t="s">
        <v>67</v>
      </c>
      <c r="C8" s="30" t="str">
        <f>'R'!C12</f>
        <v>:EDUCACIÓN PRIMARIA SECUNDARIA</v>
      </c>
    </row>
    <row r="9" spans="1:7" ht="18" customHeight="1">
      <c r="B9" s="29" t="s">
        <v>111</v>
      </c>
      <c r="C9" s="502" t="str">
        <f>'R'!C13</f>
        <v>“OPTIMIZACIÓN  DE COBERTURA METALICA Y TRIBUNA DE LA IE No. 550006 BELEN DE OSMA Y PARDO, PROVINCIA DE ANDAHUAYLAS-REGION APURIMAC"</v>
      </c>
      <c r="D9" s="502"/>
      <c r="E9" s="502"/>
      <c r="F9" s="502"/>
      <c r="G9" s="502"/>
    </row>
    <row r="10" spans="1:7" ht="18" customHeight="1">
      <c r="B10" s="29"/>
      <c r="C10" s="502"/>
      <c r="D10" s="502"/>
      <c r="E10" s="502"/>
      <c r="F10" s="502"/>
      <c r="G10" s="502"/>
    </row>
    <row r="11" spans="1:7" ht="18" customHeight="1">
      <c r="B11" s="29"/>
      <c r="C11" s="30"/>
      <c r="D11" s="65"/>
    </row>
    <row r="12" spans="1:7" ht="18" customHeight="1" thickBot="1">
      <c r="B12" s="29"/>
      <c r="C12" s="30"/>
      <c r="D12" s="65"/>
    </row>
    <row r="13" spans="1:7" s="182" customFormat="1" ht="20.25" customHeight="1" thickBot="1">
      <c r="A13" s="183"/>
      <c r="B13" s="224" t="s">
        <v>36</v>
      </c>
      <c r="C13" s="487" t="s">
        <v>37</v>
      </c>
      <c r="D13" s="487"/>
      <c r="E13" s="487"/>
      <c r="F13" s="487"/>
      <c r="G13" s="225" t="s">
        <v>213</v>
      </c>
    </row>
    <row r="14" spans="1:7" s="182" customFormat="1" ht="20.25" customHeight="1">
      <c r="A14" s="183"/>
      <c r="B14" s="204" t="str">
        <f>'R'!A16</f>
        <v>2.6.2.2.2.4</v>
      </c>
      <c r="C14" s="205" t="s">
        <v>144</v>
      </c>
      <c r="D14" s="205"/>
      <c r="E14" s="205"/>
      <c r="F14" s="206"/>
      <c r="G14" s="207">
        <f>+G26</f>
        <v>10359.6</v>
      </c>
    </row>
    <row r="15" spans="1:7" s="182" customFormat="1" ht="20.25" customHeight="1">
      <c r="A15" s="183"/>
      <c r="B15" s="204" t="str">
        <f>'R'!A17</f>
        <v>2.6.2.2.2.5</v>
      </c>
      <c r="C15" s="199" t="s">
        <v>145</v>
      </c>
      <c r="D15" s="199"/>
      <c r="E15" s="199"/>
      <c r="F15" s="200"/>
      <c r="G15" s="201">
        <f>+G93</f>
        <v>6693.49</v>
      </c>
    </row>
    <row r="16" spans="1:7" s="182" customFormat="1" ht="20.25" customHeight="1">
      <c r="A16" s="183"/>
      <c r="B16" s="204" t="str">
        <f>'R'!A18</f>
        <v>2.6.2.2.2.6</v>
      </c>
      <c r="C16" s="202" t="s">
        <v>146</v>
      </c>
      <c r="D16" s="202"/>
      <c r="E16" s="202"/>
      <c r="F16" s="200"/>
      <c r="G16" s="201">
        <f>+G178</f>
        <v>1350</v>
      </c>
    </row>
    <row r="17" spans="1:9" s="182" customFormat="1" ht="20.25" customHeight="1">
      <c r="A17" s="183"/>
      <c r="B17" s="204" t="str">
        <f>'R'!A19</f>
        <v>2.6.2.2.2.7</v>
      </c>
      <c r="C17" s="199" t="s">
        <v>147</v>
      </c>
      <c r="D17" s="199"/>
      <c r="E17" s="199"/>
      <c r="F17" s="200"/>
      <c r="G17" s="201"/>
    </row>
    <row r="18" spans="1:9" s="182" customFormat="1" ht="20.25" customHeight="1" thickBot="1">
      <c r="A18" s="183"/>
      <c r="B18" s="488" t="s">
        <v>263</v>
      </c>
      <c r="C18" s="489"/>
      <c r="D18" s="489"/>
      <c r="E18" s="489"/>
      <c r="F18" s="489"/>
      <c r="G18" s="203">
        <f>SUM(G14:G17)</f>
        <v>18403.09</v>
      </c>
      <c r="H18" s="184"/>
      <c r="I18" s="184"/>
    </row>
    <row r="19" spans="1:9" ht="18" customHeight="1">
      <c r="B19" s="75"/>
      <c r="C19" s="75"/>
      <c r="D19" s="75"/>
      <c r="E19" s="75"/>
      <c r="F19" s="88"/>
      <c r="G19" s="65"/>
    </row>
    <row r="20" spans="1:9" ht="18" customHeight="1">
      <c r="B20" s="75"/>
      <c r="C20" s="75"/>
      <c r="D20" s="75"/>
      <c r="E20" s="75"/>
      <c r="F20" s="88"/>
      <c r="G20" s="65"/>
    </row>
    <row r="21" spans="1:9" ht="18" customHeight="1">
      <c r="A21" s="77"/>
      <c r="B21" s="77"/>
      <c r="C21" s="67"/>
      <c r="D21" s="78"/>
      <c r="E21" s="79"/>
      <c r="F21" s="67"/>
    </row>
    <row r="22" spans="1:9" ht="27" customHeight="1">
      <c r="A22" s="482" t="s">
        <v>42</v>
      </c>
      <c r="B22" s="483"/>
      <c r="C22" s="483"/>
      <c r="D22" s="483"/>
      <c r="E22" s="483"/>
      <c r="F22" s="483"/>
      <c r="G22" s="483"/>
    </row>
    <row r="23" spans="1:9" ht="12" customHeight="1">
      <c r="A23" s="230"/>
      <c r="B23" s="231"/>
      <c r="C23" s="232"/>
      <c r="D23" s="231"/>
      <c r="E23" s="233"/>
      <c r="F23" s="231"/>
      <c r="G23" s="231"/>
    </row>
    <row r="24" spans="1:9" ht="27" customHeight="1">
      <c r="A24" s="482" t="s">
        <v>261</v>
      </c>
      <c r="B24" s="482"/>
      <c r="C24" s="482"/>
      <c r="D24" s="482"/>
      <c r="E24" s="482"/>
      <c r="F24" s="482"/>
      <c r="G24" s="482"/>
    </row>
    <row r="25" spans="1:9" ht="12.75" customHeight="1">
      <c r="A25" s="123"/>
      <c r="B25" s="123"/>
      <c r="C25" s="124"/>
      <c r="D25" s="125"/>
      <c r="E25" s="126"/>
      <c r="F25" s="123"/>
      <c r="G25" s="123"/>
    </row>
    <row r="26" spans="1:9" s="182" customFormat="1" ht="15.75">
      <c r="A26" s="237" t="s">
        <v>205</v>
      </c>
      <c r="B26" s="238"/>
      <c r="C26" s="239"/>
      <c r="D26" s="239"/>
      <c r="E26" s="240"/>
      <c r="F26" s="240" t="s">
        <v>0</v>
      </c>
      <c r="G26" s="241">
        <f>+G28+G40+G61+G81</f>
        <v>10359.6</v>
      </c>
      <c r="H26" s="208"/>
    </row>
    <row r="27" spans="1:9" ht="18" customHeight="1">
      <c r="A27" s="77"/>
      <c r="B27" s="77"/>
      <c r="C27" s="67"/>
      <c r="D27" s="78"/>
      <c r="E27" s="79"/>
      <c r="F27" s="67"/>
    </row>
    <row r="28" spans="1:9" ht="18" customHeight="1">
      <c r="A28" s="215"/>
      <c r="B28" s="216" t="s">
        <v>11</v>
      </c>
      <c r="C28" s="217"/>
      <c r="D28" s="217"/>
      <c r="E28" s="219"/>
      <c r="F28" s="220" t="s">
        <v>0</v>
      </c>
      <c r="G28" s="221">
        <f>+F37</f>
        <v>7200</v>
      </c>
    </row>
    <row r="29" spans="1:9" ht="12.75" customHeight="1">
      <c r="A29" s="89"/>
      <c r="B29" s="90"/>
      <c r="C29" s="85"/>
      <c r="D29" s="85"/>
      <c r="E29" s="86"/>
      <c r="F29" s="85"/>
      <c r="G29" s="85"/>
    </row>
    <row r="30" spans="1:9" ht="12.75" customHeight="1">
      <c r="A30" s="91" t="s">
        <v>12</v>
      </c>
      <c r="B30" s="92" t="s">
        <v>13</v>
      </c>
      <c r="C30" s="85"/>
      <c r="D30" s="85"/>
      <c r="E30" s="86"/>
      <c r="F30" s="85"/>
      <c r="G30" s="85"/>
    </row>
    <row r="31" spans="1:9" ht="12.75" customHeight="1">
      <c r="A31" s="93"/>
      <c r="B31" s="78"/>
      <c r="C31" s="85"/>
      <c r="D31" s="85"/>
      <c r="E31" s="86"/>
      <c r="F31" s="85"/>
      <c r="G31" s="85"/>
    </row>
    <row r="32" spans="1:9" ht="12.75" customHeight="1">
      <c r="A32" s="64"/>
      <c r="B32" s="92" t="s">
        <v>44</v>
      </c>
      <c r="C32" s="78"/>
      <c r="D32" s="78"/>
      <c r="E32" s="94"/>
      <c r="F32" s="78"/>
      <c r="G32" s="85"/>
    </row>
    <row r="33" spans="1:9" ht="12.75" customHeight="1">
      <c r="A33" s="64"/>
      <c r="B33" s="92"/>
      <c r="C33" s="78"/>
      <c r="D33" s="78"/>
      <c r="E33" s="94"/>
      <c r="F33" s="78"/>
      <c r="G33" s="85"/>
    </row>
    <row r="34" spans="1:9" ht="12.75" customHeight="1">
      <c r="A34" s="93"/>
      <c r="B34" s="95" t="s">
        <v>45</v>
      </c>
      <c r="C34" s="96" t="s">
        <v>46</v>
      </c>
      <c r="D34" s="96" t="s">
        <v>47</v>
      </c>
      <c r="E34" s="96" t="s">
        <v>14</v>
      </c>
      <c r="F34" s="96" t="s">
        <v>4</v>
      </c>
      <c r="G34" s="85"/>
    </row>
    <row r="35" spans="1:9" ht="12.75" customHeight="1">
      <c r="A35" s="93"/>
      <c r="B35" s="117" t="s">
        <v>170</v>
      </c>
      <c r="C35" s="99">
        <v>1</v>
      </c>
      <c r="D35" s="99">
        <v>6</v>
      </c>
      <c r="E35" s="99">
        <f>40*30</f>
        <v>1200</v>
      </c>
      <c r="F35" s="98">
        <f>+C35*D35*E35</f>
        <v>7200</v>
      </c>
      <c r="G35" s="85"/>
    </row>
    <row r="36" spans="1:9" ht="12.75" customHeight="1">
      <c r="A36" s="64"/>
      <c r="B36" s="117"/>
      <c r="C36" s="99"/>
      <c r="D36" s="99"/>
      <c r="E36" s="99"/>
      <c r="F36" s="97"/>
      <c r="G36" s="85"/>
    </row>
    <row r="37" spans="1:9" ht="12.75" customHeight="1">
      <c r="A37" s="67"/>
      <c r="B37" s="490" t="s">
        <v>3</v>
      </c>
      <c r="C37" s="490"/>
      <c r="D37" s="490"/>
      <c r="E37" s="490"/>
      <c r="F37" s="98">
        <f>SUM(F35:F36)</f>
        <v>7200</v>
      </c>
      <c r="G37" s="78"/>
    </row>
    <row r="38" spans="1:9" ht="12.75" customHeight="1">
      <c r="A38" s="64"/>
      <c r="B38" s="85"/>
      <c r="C38" s="85"/>
      <c r="D38" s="85"/>
      <c r="E38" s="86"/>
      <c r="F38" s="85"/>
      <c r="G38" s="85"/>
      <c r="I38" s="189"/>
    </row>
    <row r="39" spans="1:9" ht="15.75" customHeight="1">
      <c r="A39" s="64"/>
      <c r="B39" s="85"/>
      <c r="C39" s="85"/>
      <c r="D39" s="85"/>
      <c r="E39" s="86"/>
      <c r="F39" s="85"/>
      <c r="G39" s="85"/>
    </row>
    <row r="40" spans="1:9" ht="18" customHeight="1">
      <c r="A40" s="215"/>
      <c r="B40" s="216" t="s">
        <v>20</v>
      </c>
      <c r="C40" s="217"/>
      <c r="D40" s="217"/>
      <c r="E40" s="219"/>
      <c r="F40" s="220" t="s">
        <v>0</v>
      </c>
      <c r="G40" s="221">
        <f>+F49+F59</f>
        <v>759.6</v>
      </c>
    </row>
    <row r="41" spans="1:9" ht="12.75" customHeight="1">
      <c r="A41" s="89"/>
      <c r="B41" s="90"/>
      <c r="C41" s="85"/>
      <c r="D41" s="85"/>
      <c r="E41" s="86"/>
      <c r="F41" s="85"/>
      <c r="G41" s="85"/>
    </row>
    <row r="42" spans="1:9" ht="12.75" customHeight="1">
      <c r="A42" s="91" t="s">
        <v>12</v>
      </c>
      <c r="B42" s="92" t="s">
        <v>139</v>
      </c>
      <c r="C42" s="85"/>
      <c r="D42" s="85"/>
      <c r="E42" s="86"/>
      <c r="F42" s="85"/>
      <c r="G42" s="85"/>
    </row>
    <row r="43" spans="1:9" ht="12.75" customHeight="1">
      <c r="A43" s="91"/>
      <c r="B43" s="92"/>
      <c r="C43" s="85"/>
      <c r="D43" s="85"/>
      <c r="E43" s="86"/>
      <c r="F43" s="85"/>
      <c r="G43" s="85"/>
    </row>
    <row r="44" spans="1:9" ht="12.75" customHeight="1">
      <c r="A44" s="93"/>
      <c r="B44" s="92" t="s">
        <v>44</v>
      </c>
      <c r="C44" s="78"/>
      <c r="D44" s="78"/>
      <c r="E44" s="94"/>
      <c r="F44" s="85"/>
      <c r="G44" s="85"/>
    </row>
    <row r="45" spans="1:9" ht="12.75" customHeight="1">
      <c r="A45" s="93"/>
      <c r="B45" s="92"/>
      <c r="C45" s="78"/>
      <c r="D45" s="78"/>
      <c r="E45" s="94"/>
      <c r="F45" s="85"/>
      <c r="G45" s="85"/>
    </row>
    <row r="46" spans="1:9" ht="12.75" customHeight="1">
      <c r="A46" s="64"/>
      <c r="B46" s="95" t="s">
        <v>45</v>
      </c>
      <c r="C46" s="96" t="s">
        <v>46</v>
      </c>
      <c r="D46" s="96" t="s">
        <v>47</v>
      </c>
      <c r="E46" s="96" t="s">
        <v>14</v>
      </c>
      <c r="F46" s="96" t="s">
        <v>4</v>
      </c>
      <c r="G46" s="85"/>
      <c r="I46" s="189"/>
    </row>
    <row r="47" spans="1:9" ht="12.75" customHeight="1">
      <c r="A47" s="64"/>
      <c r="B47" s="98" t="str">
        <f>+B35</f>
        <v>PROMOTOR</v>
      </c>
      <c r="C47" s="99">
        <v>1</v>
      </c>
      <c r="D47" s="99">
        <f>+D35</f>
        <v>6</v>
      </c>
      <c r="E47" s="99">
        <f>+E35*0.09</f>
        <v>108</v>
      </c>
      <c r="F47" s="98">
        <f>+C47*D47*E47</f>
        <v>648</v>
      </c>
      <c r="G47" s="85"/>
      <c r="I47" s="189"/>
    </row>
    <row r="48" spans="1:9" ht="12.75" customHeight="1">
      <c r="A48" s="64"/>
      <c r="B48" s="117"/>
      <c r="C48" s="99"/>
      <c r="D48" s="99"/>
      <c r="E48" s="99"/>
      <c r="F48" s="97"/>
      <c r="G48" s="85"/>
      <c r="I48" s="189"/>
    </row>
    <row r="49" spans="1:9" ht="12.75" customHeight="1">
      <c r="A49" s="64"/>
      <c r="B49" s="500" t="s">
        <v>3</v>
      </c>
      <c r="C49" s="500"/>
      <c r="D49" s="500"/>
      <c r="E49" s="500"/>
      <c r="F49" s="98">
        <f>SUM(F47:F48)</f>
        <v>648</v>
      </c>
      <c r="G49" s="85"/>
      <c r="I49" s="189"/>
    </row>
    <row r="50" spans="1:9" ht="13.5" customHeight="1">
      <c r="A50" s="64"/>
      <c r="B50" s="101"/>
      <c r="C50" s="101"/>
      <c r="D50" s="101"/>
      <c r="E50" s="86"/>
      <c r="F50" s="85"/>
      <c r="G50" s="85"/>
      <c r="I50" s="189"/>
    </row>
    <row r="51" spans="1:9" ht="13.5" customHeight="1">
      <c r="A51" s="64"/>
      <c r="B51" s="101"/>
      <c r="C51" s="85"/>
      <c r="D51" s="101"/>
      <c r="E51" s="86"/>
      <c r="F51" s="85"/>
      <c r="G51" s="85"/>
      <c r="I51" s="189"/>
    </row>
    <row r="52" spans="1:9" ht="12.75" customHeight="1">
      <c r="A52" s="102" t="s">
        <v>15</v>
      </c>
      <c r="B52" s="92" t="s">
        <v>85</v>
      </c>
      <c r="C52" s="85"/>
      <c r="D52" s="85"/>
      <c r="E52" s="86"/>
      <c r="F52" s="85"/>
      <c r="G52" s="85"/>
      <c r="I52" s="189"/>
    </row>
    <row r="53" spans="1:9" ht="12.75" customHeight="1">
      <c r="A53" s="91"/>
      <c r="B53" s="92"/>
      <c r="C53" s="85"/>
      <c r="D53" s="85"/>
      <c r="E53" s="86"/>
      <c r="F53" s="85"/>
      <c r="G53" s="85"/>
      <c r="I53" s="189"/>
    </row>
    <row r="54" spans="1:9" ht="12.75" customHeight="1">
      <c r="A54" s="64"/>
      <c r="B54" s="92" t="s">
        <v>44</v>
      </c>
      <c r="C54" s="78"/>
      <c r="D54" s="78"/>
      <c r="E54" s="94"/>
      <c r="F54" s="85"/>
      <c r="G54" s="85"/>
    </row>
    <row r="55" spans="1:9" ht="12.75" customHeight="1">
      <c r="A55" s="64"/>
      <c r="B55" s="92"/>
      <c r="C55" s="78"/>
      <c r="D55" s="78"/>
      <c r="E55" s="94"/>
      <c r="F55" s="85"/>
      <c r="G55" s="85"/>
    </row>
    <row r="56" spans="1:9" ht="12.75" customHeight="1">
      <c r="A56" s="64"/>
      <c r="B56" s="95" t="s">
        <v>45</v>
      </c>
      <c r="C56" s="96" t="s">
        <v>46</v>
      </c>
      <c r="D56" s="96" t="s">
        <v>47</v>
      </c>
      <c r="E56" s="96" t="s">
        <v>14</v>
      </c>
      <c r="F56" s="96" t="s">
        <v>4</v>
      </c>
      <c r="G56" s="85"/>
    </row>
    <row r="57" spans="1:9" ht="12.75" customHeight="1">
      <c r="A57" s="64"/>
      <c r="B57" s="98" t="str">
        <f>+B35</f>
        <v>PROMOTOR</v>
      </c>
      <c r="C57" s="99">
        <f>+$C$35</f>
        <v>1</v>
      </c>
      <c r="D57" s="99">
        <f>+D47</f>
        <v>6</v>
      </c>
      <c r="E57" s="99">
        <f>+E35*0.0155</f>
        <v>18.600000000000001</v>
      </c>
      <c r="F57" s="98">
        <f>+C57*D57*E57</f>
        <v>111.60000000000001</v>
      </c>
      <c r="G57" s="85"/>
    </row>
    <row r="58" spans="1:9" ht="12.75" customHeight="1">
      <c r="A58" s="64"/>
      <c r="B58" s="117"/>
      <c r="C58" s="99"/>
      <c r="D58" s="99"/>
      <c r="E58" s="99"/>
      <c r="F58" s="97"/>
      <c r="G58" s="85"/>
    </row>
    <row r="59" spans="1:9" ht="12.75" customHeight="1">
      <c r="A59" s="64"/>
      <c r="B59" s="486" t="s">
        <v>3</v>
      </c>
      <c r="C59" s="486"/>
      <c r="D59" s="486"/>
      <c r="E59" s="486"/>
      <c r="F59" s="98">
        <f>SUM(F57:F58)</f>
        <v>111.60000000000001</v>
      </c>
      <c r="G59" s="85"/>
    </row>
    <row r="60" spans="1:9" ht="12.75" customHeight="1">
      <c r="A60" s="64"/>
      <c r="B60" s="101"/>
      <c r="C60" s="85"/>
      <c r="D60" s="101"/>
      <c r="E60" s="86"/>
      <c r="F60" s="85"/>
      <c r="G60" s="85"/>
    </row>
    <row r="61" spans="1:9" ht="18" customHeight="1">
      <c r="A61" s="215"/>
      <c r="B61" s="216" t="s">
        <v>22</v>
      </c>
      <c r="C61" s="217"/>
      <c r="D61" s="217"/>
      <c r="E61" s="219"/>
      <c r="F61" s="220" t="s">
        <v>0</v>
      </c>
      <c r="G61" s="221">
        <f>+F70+F79</f>
        <v>1200</v>
      </c>
    </row>
    <row r="62" spans="1:9" ht="12.75" customHeight="1">
      <c r="A62" s="91"/>
      <c r="B62" s="92"/>
      <c r="C62" s="85"/>
      <c r="D62" s="85"/>
      <c r="E62" s="86"/>
      <c r="F62" s="85"/>
      <c r="G62" s="85"/>
    </row>
    <row r="63" spans="1:9" ht="12.75" customHeight="1">
      <c r="A63" s="102" t="s">
        <v>12</v>
      </c>
      <c r="B63" s="92" t="s">
        <v>142</v>
      </c>
      <c r="C63" s="85"/>
      <c r="D63" s="85"/>
      <c r="E63" s="86"/>
      <c r="F63" s="85"/>
      <c r="G63" s="85"/>
    </row>
    <row r="64" spans="1:9" ht="12.75" customHeight="1">
      <c r="A64" s="93"/>
      <c r="B64" s="103"/>
      <c r="C64" s="85"/>
      <c r="D64" s="85"/>
      <c r="E64" s="86"/>
      <c r="F64" s="85"/>
      <c r="G64" s="85"/>
    </row>
    <row r="65" spans="1:7" ht="12.75" customHeight="1">
      <c r="A65" s="64"/>
      <c r="B65" s="92" t="s">
        <v>44</v>
      </c>
      <c r="C65" s="78"/>
      <c r="D65" s="78"/>
      <c r="E65" s="94"/>
      <c r="F65" s="78"/>
      <c r="G65" s="85"/>
    </row>
    <row r="66" spans="1:7" ht="12.75" customHeight="1">
      <c r="A66" s="64"/>
      <c r="B66" s="92"/>
      <c r="C66" s="78"/>
      <c r="D66" s="78"/>
      <c r="E66" s="94"/>
      <c r="F66" s="78"/>
      <c r="G66" s="85"/>
    </row>
    <row r="67" spans="1:7" ht="12.75" customHeight="1">
      <c r="A67" s="64"/>
      <c r="B67" s="95" t="s">
        <v>45</v>
      </c>
      <c r="C67" s="96" t="s">
        <v>46</v>
      </c>
      <c r="D67" s="96" t="s">
        <v>47</v>
      </c>
      <c r="E67" s="96" t="s">
        <v>14</v>
      </c>
      <c r="F67" s="96" t="s">
        <v>4</v>
      </c>
      <c r="G67" s="85"/>
    </row>
    <row r="68" spans="1:7" ht="12.75" customHeight="1">
      <c r="A68" s="64"/>
      <c r="B68" s="98" t="str">
        <f>+B35</f>
        <v>PROMOTOR</v>
      </c>
      <c r="C68" s="99">
        <v>1</v>
      </c>
      <c r="D68" s="99">
        <f>+D57</f>
        <v>6</v>
      </c>
      <c r="E68" s="99">
        <f>+E35/12</f>
        <v>100</v>
      </c>
      <c r="F68" s="98">
        <f>+C68*D68*E68</f>
        <v>600</v>
      </c>
      <c r="G68" s="85"/>
    </row>
    <row r="69" spans="1:7" ht="12.75" customHeight="1">
      <c r="A69" s="67"/>
      <c r="B69" s="117"/>
      <c r="C69" s="99"/>
      <c r="D69" s="99"/>
      <c r="E69" s="99"/>
      <c r="F69" s="97"/>
      <c r="G69" s="85"/>
    </row>
    <row r="70" spans="1:7" ht="12.75" customHeight="1">
      <c r="A70" s="64"/>
      <c r="B70" s="506" t="s">
        <v>3</v>
      </c>
      <c r="C70" s="506"/>
      <c r="D70" s="506"/>
      <c r="E70" s="506"/>
      <c r="F70" s="98">
        <f>SUM(F68:F69)</f>
        <v>600</v>
      </c>
      <c r="G70" s="85"/>
    </row>
    <row r="71" spans="1:7" ht="12.75" customHeight="1">
      <c r="A71" s="91"/>
      <c r="B71" s="92"/>
      <c r="C71" s="85"/>
      <c r="D71" s="85"/>
      <c r="E71" s="86"/>
      <c r="F71" s="85"/>
      <c r="G71" s="85"/>
    </row>
    <row r="72" spans="1:7" ht="12.75" customHeight="1">
      <c r="A72" s="102" t="s">
        <v>15</v>
      </c>
      <c r="B72" s="92" t="s">
        <v>141</v>
      </c>
      <c r="C72" s="85"/>
      <c r="D72" s="85"/>
      <c r="E72" s="86"/>
      <c r="F72" s="85"/>
      <c r="G72" s="85"/>
    </row>
    <row r="73" spans="1:7" ht="12.75" customHeight="1">
      <c r="A73" s="93"/>
      <c r="B73" s="103"/>
      <c r="C73" s="85"/>
      <c r="D73" s="85"/>
      <c r="E73" s="86"/>
      <c r="F73" s="85"/>
      <c r="G73" s="85"/>
    </row>
    <row r="74" spans="1:7" ht="12.75" customHeight="1">
      <c r="A74" s="64"/>
      <c r="B74" s="92" t="s">
        <v>44</v>
      </c>
      <c r="C74" s="78"/>
      <c r="D74" s="78"/>
      <c r="E74" s="94"/>
      <c r="F74" s="78"/>
      <c r="G74" s="85"/>
    </row>
    <row r="75" spans="1:7" ht="12.75" customHeight="1">
      <c r="A75" s="64"/>
      <c r="B75" s="92"/>
      <c r="C75" s="78"/>
      <c r="D75" s="78"/>
      <c r="E75" s="94"/>
      <c r="F75" s="78"/>
      <c r="G75" s="85"/>
    </row>
    <row r="76" spans="1:7" ht="12.75" customHeight="1">
      <c r="A76" s="64"/>
      <c r="B76" s="95" t="s">
        <v>45</v>
      </c>
      <c r="C76" s="96" t="s">
        <v>46</v>
      </c>
      <c r="D76" s="96" t="s">
        <v>47</v>
      </c>
      <c r="E76" s="96" t="s">
        <v>14</v>
      </c>
      <c r="F76" s="96" t="s">
        <v>4</v>
      </c>
      <c r="G76" s="85"/>
    </row>
    <row r="77" spans="1:7" ht="12.75" customHeight="1">
      <c r="A77" s="64"/>
      <c r="B77" s="98" t="str">
        <f>+B35</f>
        <v>PROMOTOR</v>
      </c>
      <c r="C77" s="99">
        <f>+C68</f>
        <v>1</v>
      </c>
      <c r="D77" s="99">
        <f>+D68</f>
        <v>6</v>
      </c>
      <c r="E77" s="99">
        <f>+E35/12</f>
        <v>100</v>
      </c>
      <c r="F77" s="98">
        <f>+C77*D77*E77</f>
        <v>600</v>
      </c>
      <c r="G77" s="85"/>
    </row>
    <row r="78" spans="1:7" ht="12.75" customHeight="1">
      <c r="A78" s="67"/>
      <c r="B78" s="117"/>
      <c r="C78" s="99">
        <f>+$C$36</f>
        <v>0</v>
      </c>
      <c r="D78" s="99">
        <f>+D69</f>
        <v>0</v>
      </c>
      <c r="E78" s="99">
        <f>+E36/12</f>
        <v>0</v>
      </c>
      <c r="F78" s="97">
        <f>+C78*D78*E78</f>
        <v>0</v>
      </c>
      <c r="G78" s="85"/>
    </row>
    <row r="79" spans="1:7" ht="12.75" customHeight="1">
      <c r="A79" s="64"/>
      <c r="B79" s="506" t="s">
        <v>3</v>
      </c>
      <c r="C79" s="506"/>
      <c r="D79" s="506"/>
      <c r="E79" s="506"/>
      <c r="F79" s="98">
        <f>SUM(F77:F78)</f>
        <v>600</v>
      </c>
      <c r="G79" s="85"/>
    </row>
    <row r="80" spans="1:7" ht="12.75" customHeight="1">
      <c r="A80" s="91"/>
      <c r="B80" s="92"/>
      <c r="C80" s="85"/>
      <c r="D80" s="85"/>
      <c r="E80" s="86"/>
      <c r="F80" s="85"/>
      <c r="G80" s="85"/>
    </row>
    <row r="81" spans="1:8" ht="18" customHeight="1">
      <c r="A81" s="215"/>
      <c r="B81" s="216" t="s">
        <v>110</v>
      </c>
      <c r="C81" s="217"/>
      <c r="D81" s="217"/>
      <c r="E81" s="219"/>
      <c r="F81" s="220" t="s">
        <v>0</v>
      </c>
      <c r="G81" s="221">
        <f>+F90</f>
        <v>1200</v>
      </c>
    </row>
    <row r="82" spans="1:8" ht="12.75" customHeight="1">
      <c r="A82" s="91"/>
      <c r="B82" s="92"/>
      <c r="C82" s="85"/>
      <c r="D82" s="85"/>
      <c r="E82" s="86"/>
      <c r="F82" s="85"/>
      <c r="G82" s="85"/>
    </row>
    <row r="83" spans="1:8" ht="14.25" customHeight="1">
      <c r="A83" s="91" t="s">
        <v>89</v>
      </c>
      <c r="B83" s="92" t="s">
        <v>140</v>
      </c>
      <c r="C83" s="78"/>
      <c r="D83" s="78"/>
      <c r="E83" s="94"/>
      <c r="F83" s="78"/>
      <c r="G83" s="85"/>
    </row>
    <row r="84" spans="1:8" ht="12.75" customHeight="1">
      <c r="A84" s="102"/>
      <c r="B84" s="92"/>
      <c r="C84" s="78"/>
      <c r="D84" s="78"/>
      <c r="E84" s="94"/>
      <c r="F84" s="78"/>
      <c r="G84" s="85"/>
    </row>
    <row r="85" spans="1:8" ht="12.75" customHeight="1">
      <c r="A85" s="102"/>
      <c r="B85" s="92" t="s">
        <v>44</v>
      </c>
      <c r="C85" s="78"/>
      <c r="D85" s="78"/>
      <c r="E85" s="94"/>
      <c r="F85" s="78"/>
      <c r="G85" s="85"/>
    </row>
    <row r="86" spans="1:8" ht="14.25" customHeight="1">
      <c r="A86" s="64"/>
      <c r="B86" s="92"/>
      <c r="C86" s="78"/>
      <c r="D86" s="78"/>
      <c r="E86" s="94"/>
      <c r="F86" s="78"/>
      <c r="G86" s="85"/>
    </row>
    <row r="87" spans="1:8" ht="14.25" customHeight="1">
      <c r="A87" s="64"/>
      <c r="B87" s="95" t="s">
        <v>45</v>
      </c>
      <c r="C87" s="96" t="s">
        <v>46</v>
      </c>
      <c r="D87" s="96" t="s">
        <v>47</v>
      </c>
      <c r="E87" s="96" t="s">
        <v>14</v>
      </c>
      <c r="F87" s="96" t="s">
        <v>4</v>
      </c>
      <c r="G87" s="85"/>
    </row>
    <row r="88" spans="1:8" ht="14.25" customHeight="1">
      <c r="A88" s="64"/>
      <c r="B88" s="117" t="str">
        <f>+B35</f>
        <v>PROMOTOR</v>
      </c>
      <c r="C88" s="99">
        <v>1</v>
      </c>
      <c r="D88" s="99">
        <f>+D77</f>
        <v>6</v>
      </c>
      <c r="E88" s="99">
        <f>+E35/12*2</f>
        <v>200</v>
      </c>
      <c r="F88" s="98">
        <f>+C88*D88*E88</f>
        <v>1200</v>
      </c>
      <c r="G88" s="85"/>
    </row>
    <row r="89" spans="1:8" ht="14.25" customHeight="1">
      <c r="A89" s="64"/>
      <c r="B89" s="117"/>
      <c r="C89" s="99"/>
      <c r="D89" s="99"/>
      <c r="E89" s="99"/>
      <c r="F89" s="97"/>
      <c r="G89" s="85"/>
    </row>
    <row r="90" spans="1:8" ht="14.25" customHeight="1">
      <c r="A90" s="67"/>
      <c r="B90" s="490" t="s">
        <v>3</v>
      </c>
      <c r="C90" s="490"/>
      <c r="D90" s="490"/>
      <c r="E90" s="490"/>
      <c r="F90" s="98">
        <f>SUM(F88:F89)</f>
        <v>1200</v>
      </c>
      <c r="G90" s="85"/>
    </row>
    <row r="91" spans="1:8" ht="14.25" customHeight="1">
      <c r="A91" s="64"/>
      <c r="B91" s="85"/>
      <c r="C91" s="85"/>
      <c r="D91" s="85"/>
      <c r="E91" s="86"/>
      <c r="F91" s="85"/>
      <c r="G91" s="85"/>
    </row>
    <row r="92" spans="1:8" ht="12.75" customHeight="1">
      <c r="A92" s="64"/>
      <c r="B92" s="105"/>
      <c r="C92" s="85"/>
      <c r="D92" s="101"/>
      <c r="E92" s="86"/>
      <c r="F92" s="85"/>
      <c r="G92" s="85"/>
    </row>
    <row r="93" spans="1:8" s="182" customFormat="1" ht="15.75">
      <c r="A93" s="242" t="s">
        <v>206</v>
      </c>
      <c r="B93" s="243"/>
      <c r="C93" s="239"/>
      <c r="D93" s="239"/>
      <c r="E93" s="240"/>
      <c r="F93" s="240" t="s">
        <v>0</v>
      </c>
      <c r="G93" s="241">
        <f>+G95</f>
        <v>6693.49</v>
      </c>
      <c r="H93" s="208"/>
    </row>
    <row r="94" spans="1:8" s="182" customFormat="1" ht="15.75">
      <c r="A94" s="210"/>
      <c r="B94" s="211"/>
      <c r="C94" s="212"/>
      <c r="D94" s="212"/>
      <c r="E94" s="213"/>
      <c r="F94" s="213"/>
      <c r="G94" s="214"/>
      <c r="H94" s="208"/>
    </row>
    <row r="95" spans="1:8" ht="15.75" customHeight="1">
      <c r="A95" s="83"/>
      <c r="B95" s="92" t="s">
        <v>214</v>
      </c>
      <c r="C95" s="85"/>
      <c r="D95" s="85"/>
      <c r="E95" s="86"/>
      <c r="F95" s="87" t="s">
        <v>0</v>
      </c>
      <c r="G95" s="88">
        <f>F176</f>
        <v>6693.49</v>
      </c>
    </row>
    <row r="96" spans="1:8" ht="12.75" customHeight="1">
      <c r="A96" s="91"/>
      <c r="B96" s="92"/>
      <c r="C96" s="85"/>
      <c r="D96" s="85"/>
      <c r="E96" s="86"/>
      <c r="F96" s="85"/>
      <c r="G96" s="85"/>
    </row>
    <row r="97" spans="1:7" ht="12.75" customHeight="1">
      <c r="A97" s="64"/>
      <c r="B97" s="134" t="s">
        <v>24</v>
      </c>
      <c r="C97" s="134" t="s">
        <v>2</v>
      </c>
      <c r="D97" s="134" t="s">
        <v>25</v>
      </c>
      <c r="E97" s="134" t="s">
        <v>5</v>
      </c>
      <c r="F97" s="134" t="s">
        <v>4</v>
      </c>
      <c r="G97" s="118"/>
    </row>
    <row r="98" spans="1:7" ht="13.5" customHeight="1">
      <c r="A98" s="51"/>
      <c r="B98" s="160" t="s">
        <v>215</v>
      </c>
      <c r="C98" s="181" t="s">
        <v>162</v>
      </c>
      <c r="D98" s="180">
        <v>1</v>
      </c>
      <c r="E98" s="185">
        <v>290</v>
      </c>
      <c r="F98" s="98">
        <f>+E98*D98</f>
        <v>290</v>
      </c>
      <c r="G98" s="32"/>
    </row>
    <row r="99" spans="1:7" ht="13.5" customHeight="1">
      <c r="A99" s="51"/>
      <c r="B99" s="160" t="s">
        <v>216</v>
      </c>
      <c r="C99" s="181" t="s">
        <v>162</v>
      </c>
      <c r="D99" s="180">
        <v>1</v>
      </c>
      <c r="E99" s="185">
        <v>10</v>
      </c>
      <c r="F99" s="98">
        <f t="shared" ref="F99:F163" si="0">+E99*D99</f>
        <v>10</v>
      </c>
      <c r="G99" s="32"/>
    </row>
    <row r="100" spans="1:7" ht="13.5" customHeight="1">
      <c r="A100" s="51"/>
      <c r="B100" s="160" t="s">
        <v>217</v>
      </c>
      <c r="C100" s="181" t="s">
        <v>162</v>
      </c>
      <c r="D100" s="180">
        <v>1</v>
      </c>
      <c r="E100" s="185">
        <v>100</v>
      </c>
      <c r="F100" s="98">
        <f t="shared" si="0"/>
        <v>100</v>
      </c>
      <c r="G100" s="32"/>
    </row>
    <row r="101" spans="1:7" ht="13.5" customHeight="1">
      <c r="A101" s="51"/>
      <c r="B101" s="160" t="s">
        <v>113</v>
      </c>
      <c r="C101" s="181" t="s">
        <v>151</v>
      </c>
      <c r="D101" s="180">
        <v>2</v>
      </c>
      <c r="E101" s="185">
        <v>2</v>
      </c>
      <c r="F101" s="98">
        <f t="shared" si="0"/>
        <v>4</v>
      </c>
      <c r="G101" s="32"/>
    </row>
    <row r="102" spans="1:7" ht="13.5" customHeight="1">
      <c r="A102" s="51"/>
      <c r="B102" s="160" t="s">
        <v>218</v>
      </c>
      <c r="C102" s="181" t="s">
        <v>162</v>
      </c>
      <c r="D102" s="180">
        <v>8</v>
      </c>
      <c r="E102" s="185">
        <v>1</v>
      </c>
      <c r="F102" s="98">
        <f t="shared" si="0"/>
        <v>8</v>
      </c>
      <c r="G102" s="32"/>
    </row>
    <row r="103" spans="1:7" ht="13.5" customHeight="1">
      <c r="A103" s="51"/>
      <c r="B103" s="160" t="s">
        <v>219</v>
      </c>
      <c r="C103" s="181" t="s">
        <v>162</v>
      </c>
      <c r="D103" s="180">
        <v>3</v>
      </c>
      <c r="E103" s="185">
        <v>7</v>
      </c>
      <c r="F103" s="98">
        <f t="shared" si="0"/>
        <v>21</v>
      </c>
      <c r="G103" s="32"/>
    </row>
    <row r="104" spans="1:7" ht="13.5" customHeight="1">
      <c r="A104" s="51"/>
      <c r="B104" s="160" t="s">
        <v>220</v>
      </c>
      <c r="C104" s="181" t="s">
        <v>162</v>
      </c>
      <c r="D104" s="180">
        <v>40</v>
      </c>
      <c r="E104" s="185">
        <v>0.5</v>
      </c>
      <c r="F104" s="98">
        <f t="shared" si="0"/>
        <v>20</v>
      </c>
      <c r="G104" s="32"/>
    </row>
    <row r="105" spans="1:7" ht="13.5" customHeight="1">
      <c r="A105" s="51"/>
      <c r="B105" s="160" t="s">
        <v>221</v>
      </c>
      <c r="C105" s="181" t="s">
        <v>162</v>
      </c>
      <c r="D105" s="180">
        <v>20</v>
      </c>
      <c r="E105" s="185">
        <v>1</v>
      </c>
      <c r="F105" s="98">
        <f t="shared" si="0"/>
        <v>20</v>
      </c>
      <c r="G105" s="32"/>
    </row>
    <row r="106" spans="1:7" ht="13.5" customHeight="1">
      <c r="A106" s="51"/>
      <c r="B106" s="160" t="s">
        <v>222</v>
      </c>
      <c r="C106" s="181" t="s">
        <v>162</v>
      </c>
      <c r="D106" s="180">
        <v>20</v>
      </c>
      <c r="E106" s="185">
        <v>0.5</v>
      </c>
      <c r="F106" s="98">
        <f t="shared" si="0"/>
        <v>10</v>
      </c>
      <c r="G106" s="32"/>
    </row>
    <row r="107" spans="1:7" ht="13.5" customHeight="1">
      <c r="A107" s="51"/>
      <c r="B107" s="160" t="s">
        <v>223</v>
      </c>
      <c r="C107" s="181" t="s">
        <v>162</v>
      </c>
      <c r="D107" s="180">
        <v>40</v>
      </c>
      <c r="E107" s="185">
        <v>1</v>
      </c>
      <c r="F107" s="98">
        <f t="shared" si="0"/>
        <v>40</v>
      </c>
      <c r="G107" s="32"/>
    </row>
    <row r="108" spans="1:7" ht="13.5" customHeight="1">
      <c r="A108" s="51"/>
      <c r="B108" s="160" t="s">
        <v>224</v>
      </c>
      <c r="C108" s="181" t="s">
        <v>163</v>
      </c>
      <c r="D108" s="180">
        <v>50</v>
      </c>
      <c r="E108" s="185">
        <v>13.5</v>
      </c>
      <c r="F108" s="98">
        <f t="shared" si="0"/>
        <v>675</v>
      </c>
      <c r="G108" s="32"/>
    </row>
    <row r="109" spans="1:7" ht="13.5" customHeight="1">
      <c r="A109" s="51"/>
      <c r="B109" s="160" t="s">
        <v>164</v>
      </c>
      <c r="C109" s="181" t="s">
        <v>148</v>
      </c>
      <c r="D109" s="180">
        <v>10</v>
      </c>
      <c r="E109" s="185">
        <v>12</v>
      </c>
      <c r="F109" s="98">
        <f t="shared" si="0"/>
        <v>120</v>
      </c>
      <c r="G109" s="32"/>
    </row>
    <row r="110" spans="1:7" ht="13.5" customHeight="1">
      <c r="A110" s="51"/>
      <c r="B110" s="160" t="s">
        <v>225</v>
      </c>
      <c r="C110" s="181" t="s">
        <v>8</v>
      </c>
      <c r="D110" s="180">
        <v>5</v>
      </c>
      <c r="E110" s="185">
        <v>7</v>
      </c>
      <c r="F110" s="98">
        <f t="shared" si="0"/>
        <v>35</v>
      </c>
      <c r="G110" s="32"/>
    </row>
    <row r="111" spans="1:7" ht="13.5" customHeight="1">
      <c r="A111" s="51"/>
      <c r="B111" s="160" t="s">
        <v>226</v>
      </c>
      <c r="C111" s="181" t="s">
        <v>162</v>
      </c>
      <c r="D111" s="180">
        <v>20</v>
      </c>
      <c r="E111" s="185">
        <v>1.5</v>
      </c>
      <c r="F111" s="98">
        <f t="shared" si="0"/>
        <v>30</v>
      </c>
      <c r="G111" s="32"/>
    </row>
    <row r="112" spans="1:7" ht="13.5" customHeight="1">
      <c r="A112" s="51"/>
      <c r="B112" s="160" t="s">
        <v>171</v>
      </c>
      <c r="C112" s="181" t="s">
        <v>172</v>
      </c>
      <c r="D112" s="180">
        <v>5</v>
      </c>
      <c r="E112" s="185">
        <v>32</v>
      </c>
      <c r="F112" s="98">
        <f t="shared" si="0"/>
        <v>160</v>
      </c>
      <c r="G112" s="32"/>
    </row>
    <row r="113" spans="1:7" ht="13.5" customHeight="1">
      <c r="A113" s="51"/>
      <c r="B113" s="160" t="s">
        <v>227</v>
      </c>
      <c r="C113" s="181" t="s">
        <v>162</v>
      </c>
      <c r="D113" s="180">
        <v>8</v>
      </c>
      <c r="E113" s="185">
        <v>1</v>
      </c>
      <c r="F113" s="98">
        <f t="shared" si="0"/>
        <v>8</v>
      </c>
      <c r="G113" s="32"/>
    </row>
    <row r="114" spans="1:7" ht="13.5" customHeight="1">
      <c r="A114" s="51"/>
      <c r="B114" s="160" t="s">
        <v>228</v>
      </c>
      <c r="C114" s="181" t="s">
        <v>162</v>
      </c>
      <c r="D114" s="180">
        <v>69</v>
      </c>
      <c r="E114" s="185">
        <v>0.5</v>
      </c>
      <c r="F114" s="98">
        <f t="shared" si="0"/>
        <v>34.5</v>
      </c>
      <c r="G114" s="32"/>
    </row>
    <row r="115" spans="1:7" ht="13.5" customHeight="1">
      <c r="A115" s="51"/>
      <c r="B115" s="160" t="s">
        <v>229</v>
      </c>
      <c r="C115" s="181" t="s">
        <v>162</v>
      </c>
      <c r="D115" s="180">
        <v>2</v>
      </c>
      <c r="E115" s="185">
        <v>6</v>
      </c>
      <c r="F115" s="98">
        <f t="shared" si="0"/>
        <v>12</v>
      </c>
      <c r="G115" s="32"/>
    </row>
    <row r="116" spans="1:7" ht="13.5" customHeight="1">
      <c r="A116" s="51"/>
      <c r="B116" s="160" t="s">
        <v>230</v>
      </c>
      <c r="C116" s="181" t="s">
        <v>162</v>
      </c>
      <c r="D116" s="180">
        <v>1</v>
      </c>
      <c r="E116" s="185">
        <v>4</v>
      </c>
      <c r="F116" s="98">
        <f t="shared" si="0"/>
        <v>4</v>
      </c>
      <c r="G116" s="32"/>
    </row>
    <row r="117" spans="1:7" ht="13.5" customHeight="1">
      <c r="A117" s="51"/>
      <c r="B117" s="160" t="s">
        <v>231</v>
      </c>
      <c r="C117" s="181" t="s">
        <v>151</v>
      </c>
      <c r="D117" s="180">
        <v>1</v>
      </c>
      <c r="E117" s="185">
        <v>1.5</v>
      </c>
      <c r="F117" s="98">
        <f t="shared" si="0"/>
        <v>1.5</v>
      </c>
      <c r="G117" s="32"/>
    </row>
    <row r="118" spans="1:7" ht="13.5" customHeight="1">
      <c r="A118" s="51"/>
      <c r="B118" s="160" t="s">
        <v>232</v>
      </c>
      <c r="C118" s="181" t="s">
        <v>162</v>
      </c>
      <c r="D118" s="180">
        <v>1</v>
      </c>
      <c r="E118" s="185">
        <v>2</v>
      </c>
      <c r="F118" s="98">
        <f t="shared" si="0"/>
        <v>2</v>
      </c>
      <c r="G118" s="32"/>
    </row>
    <row r="119" spans="1:7" ht="13.5" customHeight="1">
      <c r="A119" s="51"/>
      <c r="B119" s="160" t="s">
        <v>233</v>
      </c>
      <c r="C119" s="181" t="s">
        <v>162</v>
      </c>
      <c r="D119" s="180">
        <v>2</v>
      </c>
      <c r="E119" s="185">
        <v>9</v>
      </c>
      <c r="F119" s="98">
        <f t="shared" si="0"/>
        <v>18</v>
      </c>
      <c r="G119" s="32"/>
    </row>
    <row r="120" spans="1:7" ht="13.5" customHeight="1">
      <c r="A120" s="51"/>
      <c r="B120" s="160" t="s">
        <v>234</v>
      </c>
      <c r="C120" s="181" t="s">
        <v>162</v>
      </c>
      <c r="D120" s="180">
        <v>2</v>
      </c>
      <c r="E120" s="185">
        <v>10</v>
      </c>
      <c r="F120" s="98">
        <f t="shared" si="0"/>
        <v>20</v>
      </c>
      <c r="G120" s="32"/>
    </row>
    <row r="121" spans="1:7" ht="13.5" customHeight="1">
      <c r="A121" s="51"/>
      <c r="B121" s="160" t="s">
        <v>235</v>
      </c>
      <c r="C121" s="181" t="s">
        <v>162</v>
      </c>
      <c r="D121" s="180">
        <v>1</v>
      </c>
      <c r="E121" s="185">
        <v>10</v>
      </c>
      <c r="F121" s="98">
        <f>+E121*D121</f>
        <v>10</v>
      </c>
      <c r="G121" s="32"/>
    </row>
    <row r="122" spans="1:7" ht="13.5" customHeight="1">
      <c r="A122" s="51"/>
      <c r="B122" s="160" t="s">
        <v>236</v>
      </c>
      <c r="C122" s="181" t="s">
        <v>162</v>
      </c>
      <c r="D122" s="180">
        <v>1</v>
      </c>
      <c r="E122" s="185">
        <v>2</v>
      </c>
      <c r="F122" s="98">
        <f t="shared" si="0"/>
        <v>2</v>
      </c>
      <c r="G122" s="32"/>
    </row>
    <row r="123" spans="1:7" ht="13.5" customHeight="1">
      <c r="A123" s="51"/>
      <c r="B123" s="160" t="s">
        <v>237</v>
      </c>
      <c r="C123" s="181" t="s">
        <v>151</v>
      </c>
      <c r="D123" s="180">
        <v>1</v>
      </c>
      <c r="E123" s="185">
        <v>1.5</v>
      </c>
      <c r="F123" s="98">
        <f t="shared" si="0"/>
        <v>1.5</v>
      </c>
      <c r="G123" s="32"/>
    </row>
    <row r="124" spans="1:7" ht="13.5" customHeight="1">
      <c r="A124" s="51"/>
      <c r="B124" s="160" t="s">
        <v>238</v>
      </c>
      <c r="C124" s="181" t="s">
        <v>162</v>
      </c>
      <c r="D124" s="180">
        <v>1</v>
      </c>
      <c r="E124" s="185">
        <v>1</v>
      </c>
      <c r="F124" s="98">
        <f t="shared" si="0"/>
        <v>1</v>
      </c>
      <c r="G124" s="32"/>
    </row>
    <row r="125" spans="1:7" ht="13.5" customHeight="1">
      <c r="A125" s="51"/>
      <c r="B125" s="160" t="s">
        <v>166</v>
      </c>
      <c r="C125" s="181" t="s">
        <v>162</v>
      </c>
      <c r="D125" s="180">
        <v>3</v>
      </c>
      <c r="E125" s="185">
        <v>1</v>
      </c>
      <c r="F125" s="98">
        <f t="shared" si="0"/>
        <v>3</v>
      </c>
      <c r="G125" s="32"/>
    </row>
    <row r="126" spans="1:7" ht="13.5" customHeight="1">
      <c r="A126" s="51"/>
      <c r="B126" s="160" t="s">
        <v>239</v>
      </c>
      <c r="C126" s="181" t="s">
        <v>162</v>
      </c>
      <c r="D126" s="180">
        <v>9</v>
      </c>
      <c r="E126" s="185">
        <v>30</v>
      </c>
      <c r="F126" s="98">
        <f t="shared" si="0"/>
        <v>270</v>
      </c>
      <c r="G126" s="32"/>
    </row>
    <row r="127" spans="1:7" ht="13.5" customHeight="1">
      <c r="A127" s="51"/>
      <c r="B127" s="160" t="s">
        <v>240</v>
      </c>
      <c r="C127" s="181" t="s">
        <v>162</v>
      </c>
      <c r="D127" s="180">
        <v>45</v>
      </c>
      <c r="E127" s="185">
        <v>0.1</v>
      </c>
      <c r="F127" s="98">
        <f t="shared" si="0"/>
        <v>4.5</v>
      </c>
      <c r="G127" s="32"/>
    </row>
    <row r="128" spans="1:7" ht="13.5" customHeight="1">
      <c r="A128" s="51"/>
      <c r="B128" s="160" t="s">
        <v>241</v>
      </c>
      <c r="C128" s="181" t="s">
        <v>162</v>
      </c>
      <c r="D128" s="180">
        <v>100</v>
      </c>
      <c r="E128" s="185">
        <v>0.1</v>
      </c>
      <c r="F128" s="98">
        <f t="shared" si="0"/>
        <v>10</v>
      </c>
      <c r="G128" s="32"/>
    </row>
    <row r="129" spans="1:7" ht="13.5" customHeight="1">
      <c r="A129" s="51"/>
      <c r="B129" s="160" t="s">
        <v>167</v>
      </c>
      <c r="C129" s="181" t="s">
        <v>162</v>
      </c>
      <c r="D129" s="180">
        <v>1</v>
      </c>
      <c r="E129" s="185">
        <v>30</v>
      </c>
      <c r="F129" s="98">
        <f t="shared" si="0"/>
        <v>30</v>
      </c>
      <c r="G129" s="32"/>
    </row>
    <row r="130" spans="1:7" ht="13.5" customHeight="1">
      <c r="A130" s="51"/>
      <c r="B130" s="160" t="s">
        <v>242</v>
      </c>
      <c r="C130" s="181" t="s">
        <v>162</v>
      </c>
      <c r="D130" s="180">
        <v>1</v>
      </c>
      <c r="E130" s="185">
        <v>16</v>
      </c>
      <c r="F130" s="98">
        <f t="shared" si="0"/>
        <v>16</v>
      </c>
      <c r="G130" s="32"/>
    </row>
    <row r="131" spans="1:7" ht="13.5" customHeight="1">
      <c r="A131" s="51"/>
      <c r="B131" s="160" t="s">
        <v>168</v>
      </c>
      <c r="C131" s="181" t="s">
        <v>162</v>
      </c>
      <c r="D131" s="180">
        <v>1</v>
      </c>
      <c r="E131" s="185">
        <v>2</v>
      </c>
      <c r="F131" s="98">
        <f t="shared" si="0"/>
        <v>2</v>
      </c>
      <c r="G131" s="32"/>
    </row>
    <row r="132" spans="1:7" ht="13.5" customHeight="1">
      <c r="A132" s="51"/>
      <c r="B132" s="160" t="s">
        <v>174</v>
      </c>
      <c r="C132" s="181" t="s">
        <v>162</v>
      </c>
      <c r="D132" s="180">
        <v>87</v>
      </c>
      <c r="E132" s="185">
        <v>3</v>
      </c>
      <c r="F132" s="98">
        <f t="shared" si="0"/>
        <v>261</v>
      </c>
      <c r="G132" s="32"/>
    </row>
    <row r="133" spans="1:7" ht="13.5" customHeight="1">
      <c r="A133" s="51"/>
      <c r="B133" s="160" t="s">
        <v>175</v>
      </c>
      <c r="C133" s="181" t="s">
        <v>162</v>
      </c>
      <c r="D133" s="180">
        <v>38</v>
      </c>
      <c r="E133" s="185">
        <v>3</v>
      </c>
      <c r="F133" s="98">
        <f t="shared" si="0"/>
        <v>114</v>
      </c>
      <c r="G133" s="32"/>
    </row>
    <row r="134" spans="1:7" ht="13.5" customHeight="1">
      <c r="A134" s="51"/>
      <c r="B134" s="160" t="s">
        <v>176</v>
      </c>
      <c r="C134" s="181" t="s">
        <v>162</v>
      </c>
      <c r="D134" s="180">
        <v>2</v>
      </c>
      <c r="E134" s="185">
        <v>5</v>
      </c>
      <c r="F134" s="98">
        <f t="shared" si="0"/>
        <v>10</v>
      </c>
      <c r="G134" s="32"/>
    </row>
    <row r="135" spans="1:7" ht="13.5" customHeight="1">
      <c r="A135" s="51"/>
      <c r="B135" s="160" t="s">
        <v>177</v>
      </c>
      <c r="C135" s="181" t="s">
        <v>162</v>
      </c>
      <c r="D135" s="180">
        <v>2</v>
      </c>
      <c r="E135" s="185">
        <v>5</v>
      </c>
      <c r="F135" s="98">
        <f t="shared" si="0"/>
        <v>10</v>
      </c>
      <c r="G135" s="32"/>
    </row>
    <row r="136" spans="1:7" ht="13.5" customHeight="1">
      <c r="A136" s="51"/>
      <c r="B136" s="160" t="s">
        <v>178</v>
      </c>
      <c r="C136" s="181" t="s">
        <v>179</v>
      </c>
      <c r="D136" s="180">
        <v>1</v>
      </c>
      <c r="E136" s="185">
        <v>10</v>
      </c>
      <c r="F136" s="98">
        <f t="shared" si="0"/>
        <v>10</v>
      </c>
      <c r="G136" s="32"/>
    </row>
    <row r="137" spans="1:7" ht="13.5" customHeight="1">
      <c r="A137" s="51"/>
      <c r="B137" s="160" t="s">
        <v>180</v>
      </c>
      <c r="C137" s="181" t="s">
        <v>162</v>
      </c>
      <c r="D137" s="180">
        <v>135</v>
      </c>
      <c r="E137" s="185">
        <v>2.63</v>
      </c>
      <c r="F137" s="98">
        <f t="shared" si="0"/>
        <v>355.05</v>
      </c>
      <c r="G137" s="32"/>
    </row>
    <row r="138" spans="1:7" ht="13.5" customHeight="1">
      <c r="A138" s="51"/>
      <c r="B138" s="160" t="s">
        <v>243</v>
      </c>
      <c r="C138" s="181" t="s">
        <v>162</v>
      </c>
      <c r="D138" s="180">
        <v>1</v>
      </c>
      <c r="E138" s="185">
        <v>15</v>
      </c>
      <c r="F138" s="98">
        <f t="shared" si="0"/>
        <v>15</v>
      </c>
      <c r="G138" s="32"/>
    </row>
    <row r="139" spans="1:7" ht="13.5" customHeight="1">
      <c r="A139" s="51"/>
      <c r="B139" s="160" t="s">
        <v>181</v>
      </c>
      <c r="C139" s="181" t="s">
        <v>155</v>
      </c>
      <c r="D139" s="180">
        <v>4</v>
      </c>
      <c r="E139" s="185">
        <v>9</v>
      </c>
      <c r="F139" s="98">
        <f t="shared" si="0"/>
        <v>36</v>
      </c>
      <c r="G139" s="32"/>
    </row>
    <row r="140" spans="1:7" ht="13.5" customHeight="1">
      <c r="A140" s="51"/>
      <c r="B140" s="160" t="s">
        <v>182</v>
      </c>
      <c r="C140" s="181" t="s">
        <v>162</v>
      </c>
      <c r="D140" s="180">
        <v>9</v>
      </c>
      <c r="E140" s="185">
        <v>15</v>
      </c>
      <c r="F140" s="98">
        <f t="shared" si="0"/>
        <v>135</v>
      </c>
      <c r="G140" s="32"/>
    </row>
    <row r="141" spans="1:7" ht="13.5" customHeight="1">
      <c r="A141" s="51"/>
      <c r="B141" s="160" t="s">
        <v>183</v>
      </c>
      <c r="C141" s="181" t="s">
        <v>162</v>
      </c>
      <c r="D141" s="180">
        <v>9</v>
      </c>
      <c r="E141" s="185">
        <v>22</v>
      </c>
      <c r="F141" s="98">
        <f>+E141*D141</f>
        <v>198</v>
      </c>
      <c r="G141" s="32"/>
    </row>
    <row r="142" spans="1:7" ht="13.5" customHeight="1">
      <c r="A142" s="51"/>
      <c r="B142" s="160" t="s">
        <v>244</v>
      </c>
      <c r="C142" s="181" t="s">
        <v>162</v>
      </c>
      <c r="D142" s="180">
        <v>1</v>
      </c>
      <c r="E142" s="185">
        <v>150</v>
      </c>
      <c r="F142" s="98">
        <f t="shared" si="0"/>
        <v>150</v>
      </c>
      <c r="G142" s="32"/>
    </row>
    <row r="143" spans="1:7" ht="13.5" customHeight="1">
      <c r="A143" s="51"/>
      <c r="B143" s="160" t="s">
        <v>245</v>
      </c>
      <c r="C143" s="181" t="s">
        <v>162</v>
      </c>
      <c r="D143" s="180">
        <v>1</v>
      </c>
      <c r="E143" s="185">
        <v>100</v>
      </c>
      <c r="F143" s="98">
        <f t="shared" si="0"/>
        <v>100</v>
      </c>
      <c r="G143" s="32"/>
    </row>
    <row r="144" spans="1:7" ht="13.5" customHeight="1">
      <c r="A144" s="51"/>
      <c r="B144" s="160" t="s">
        <v>184</v>
      </c>
      <c r="C144" s="181" t="s">
        <v>162</v>
      </c>
      <c r="D144" s="180">
        <v>1</v>
      </c>
      <c r="E144" s="185">
        <v>22</v>
      </c>
      <c r="F144" s="98">
        <f t="shared" si="0"/>
        <v>22</v>
      </c>
      <c r="G144" s="32"/>
    </row>
    <row r="145" spans="1:7" ht="13.5" customHeight="1">
      <c r="A145" s="51"/>
      <c r="B145" s="160" t="s">
        <v>185</v>
      </c>
      <c r="C145" s="181" t="s">
        <v>162</v>
      </c>
      <c r="D145" s="180">
        <v>1</v>
      </c>
      <c r="E145" s="185">
        <v>5</v>
      </c>
      <c r="F145" s="98">
        <f t="shared" si="0"/>
        <v>5</v>
      </c>
      <c r="G145" s="32"/>
    </row>
    <row r="146" spans="1:7" ht="13.5" customHeight="1">
      <c r="A146" s="51"/>
      <c r="B146" s="160" t="s">
        <v>186</v>
      </c>
      <c r="C146" s="181" t="s">
        <v>162</v>
      </c>
      <c r="D146" s="180">
        <v>1</v>
      </c>
      <c r="E146" s="185">
        <v>450</v>
      </c>
      <c r="F146" s="98">
        <f t="shared" si="0"/>
        <v>450</v>
      </c>
      <c r="G146" s="32"/>
    </row>
    <row r="147" spans="1:7" ht="13.5" customHeight="1">
      <c r="A147" s="51"/>
      <c r="B147" s="160" t="s">
        <v>187</v>
      </c>
      <c r="C147" s="181" t="s">
        <v>162</v>
      </c>
      <c r="D147" s="180">
        <v>1</v>
      </c>
      <c r="E147" s="185">
        <v>300</v>
      </c>
      <c r="F147" s="98">
        <f t="shared" si="0"/>
        <v>300</v>
      </c>
      <c r="G147" s="32"/>
    </row>
    <row r="148" spans="1:7" ht="13.5" customHeight="1">
      <c r="A148" s="51"/>
      <c r="B148" s="160" t="s">
        <v>188</v>
      </c>
      <c r="C148" s="181" t="s">
        <v>162</v>
      </c>
      <c r="D148" s="180">
        <v>1</v>
      </c>
      <c r="E148" s="185">
        <v>400</v>
      </c>
      <c r="F148" s="98">
        <f t="shared" si="0"/>
        <v>400</v>
      </c>
      <c r="G148" s="32"/>
    </row>
    <row r="149" spans="1:7" ht="13.5" customHeight="1">
      <c r="A149" s="51"/>
      <c r="B149" s="160" t="s">
        <v>246</v>
      </c>
      <c r="C149" s="181" t="s">
        <v>162</v>
      </c>
      <c r="D149" s="180">
        <v>1</v>
      </c>
      <c r="E149" s="185">
        <v>75</v>
      </c>
      <c r="F149" s="98">
        <f t="shared" si="0"/>
        <v>75</v>
      </c>
      <c r="G149" s="32"/>
    </row>
    <row r="150" spans="1:7" ht="13.5" customHeight="1">
      <c r="A150" s="51"/>
      <c r="B150" s="160" t="s">
        <v>247</v>
      </c>
      <c r="C150" s="181" t="s">
        <v>162</v>
      </c>
      <c r="D150" s="180">
        <v>64</v>
      </c>
      <c r="E150" s="185">
        <v>0.5</v>
      </c>
      <c r="F150" s="98">
        <f t="shared" si="0"/>
        <v>32</v>
      </c>
      <c r="G150" s="32"/>
    </row>
    <row r="151" spans="1:7" ht="13.5" customHeight="1">
      <c r="A151" s="51"/>
      <c r="B151" s="160" t="s">
        <v>248</v>
      </c>
      <c r="C151" s="181" t="s">
        <v>162</v>
      </c>
      <c r="D151" s="180">
        <v>64</v>
      </c>
      <c r="E151" s="185">
        <v>0.5</v>
      </c>
      <c r="F151" s="98">
        <f t="shared" si="0"/>
        <v>32</v>
      </c>
      <c r="G151" s="32"/>
    </row>
    <row r="152" spans="1:7" ht="13.5" customHeight="1">
      <c r="A152" s="51"/>
      <c r="B152" s="160" t="s">
        <v>189</v>
      </c>
      <c r="C152" s="181" t="s">
        <v>162</v>
      </c>
      <c r="D152" s="180">
        <v>300</v>
      </c>
      <c r="E152" s="185">
        <v>0.5</v>
      </c>
      <c r="F152" s="98">
        <f t="shared" si="0"/>
        <v>150</v>
      </c>
      <c r="G152" s="32"/>
    </row>
    <row r="153" spans="1:7" ht="13.5" customHeight="1">
      <c r="A153" s="51"/>
      <c r="B153" s="160" t="s">
        <v>190</v>
      </c>
      <c r="C153" s="181" t="s">
        <v>162</v>
      </c>
      <c r="D153" s="180">
        <v>1</v>
      </c>
      <c r="E153" s="185">
        <v>20</v>
      </c>
      <c r="F153" s="98">
        <f t="shared" si="0"/>
        <v>20</v>
      </c>
      <c r="G153" s="32"/>
    </row>
    <row r="154" spans="1:7" ht="13.5" customHeight="1">
      <c r="A154" s="51"/>
      <c r="B154" s="160" t="s">
        <v>191</v>
      </c>
      <c r="C154" s="181" t="s">
        <v>162</v>
      </c>
      <c r="D154" s="180">
        <v>9</v>
      </c>
      <c r="E154" s="185">
        <v>5</v>
      </c>
      <c r="F154" s="98">
        <f t="shared" si="0"/>
        <v>45</v>
      </c>
      <c r="G154" s="32"/>
    </row>
    <row r="155" spans="1:7" ht="13.5" customHeight="1">
      <c r="A155" s="51"/>
      <c r="B155" s="160" t="s">
        <v>192</v>
      </c>
      <c r="C155" s="181" t="s">
        <v>162</v>
      </c>
      <c r="D155" s="180">
        <v>9</v>
      </c>
      <c r="E155" s="185">
        <v>5</v>
      </c>
      <c r="F155" s="98">
        <f t="shared" si="0"/>
        <v>45</v>
      </c>
      <c r="G155" s="32"/>
    </row>
    <row r="156" spans="1:7" ht="13.5" customHeight="1">
      <c r="A156" s="51"/>
      <c r="B156" s="160" t="s">
        <v>193</v>
      </c>
      <c r="C156" s="181" t="s">
        <v>162</v>
      </c>
      <c r="D156" s="180">
        <v>9</v>
      </c>
      <c r="E156" s="185">
        <v>5</v>
      </c>
      <c r="F156" s="98">
        <f t="shared" si="0"/>
        <v>45</v>
      </c>
      <c r="G156" s="32"/>
    </row>
    <row r="157" spans="1:7" ht="13.5" customHeight="1">
      <c r="A157" s="51"/>
      <c r="B157" s="160" t="s">
        <v>249</v>
      </c>
      <c r="C157" s="181" t="s">
        <v>162</v>
      </c>
      <c r="D157" s="180">
        <v>9</v>
      </c>
      <c r="E157" s="185">
        <v>5</v>
      </c>
      <c r="F157" s="98">
        <f t="shared" si="0"/>
        <v>45</v>
      </c>
      <c r="G157" s="32"/>
    </row>
    <row r="158" spans="1:7" ht="13.5" customHeight="1">
      <c r="A158" s="51"/>
      <c r="B158" s="160" t="s">
        <v>194</v>
      </c>
      <c r="C158" s="181" t="s">
        <v>162</v>
      </c>
      <c r="D158" s="180">
        <v>9</v>
      </c>
      <c r="E158" s="185">
        <v>5</v>
      </c>
      <c r="F158" s="98">
        <f t="shared" si="0"/>
        <v>45</v>
      </c>
      <c r="G158" s="32"/>
    </row>
    <row r="159" spans="1:7" ht="13.5" customHeight="1">
      <c r="A159" s="51"/>
      <c r="B159" s="160" t="s">
        <v>195</v>
      </c>
      <c r="C159" s="181" t="s">
        <v>162</v>
      </c>
      <c r="D159" s="180">
        <v>9</v>
      </c>
      <c r="E159" s="185">
        <v>5</v>
      </c>
      <c r="F159" s="98">
        <f t="shared" si="0"/>
        <v>45</v>
      </c>
      <c r="G159" s="32"/>
    </row>
    <row r="160" spans="1:7" ht="13.5" customHeight="1">
      <c r="A160" s="51"/>
      <c r="B160" s="160" t="s">
        <v>196</v>
      </c>
      <c r="C160" s="181" t="s">
        <v>162</v>
      </c>
      <c r="D160" s="180">
        <v>9</v>
      </c>
      <c r="E160" s="185">
        <v>5</v>
      </c>
      <c r="F160" s="98">
        <f t="shared" si="0"/>
        <v>45</v>
      </c>
      <c r="G160" s="32"/>
    </row>
    <row r="161" spans="1:7" ht="13.5" customHeight="1">
      <c r="A161" s="51"/>
      <c r="B161" s="160" t="s">
        <v>197</v>
      </c>
      <c r="C161" s="181" t="s">
        <v>162</v>
      </c>
      <c r="D161" s="180">
        <v>9</v>
      </c>
      <c r="E161" s="185">
        <v>5</v>
      </c>
      <c r="F161" s="98">
        <f t="shared" si="0"/>
        <v>45</v>
      </c>
      <c r="G161" s="32"/>
    </row>
    <row r="162" spans="1:7" ht="13.5" customHeight="1">
      <c r="A162" s="51"/>
      <c r="B162" s="160" t="s">
        <v>198</v>
      </c>
      <c r="C162" s="181" t="s">
        <v>162</v>
      </c>
      <c r="D162" s="180">
        <v>9</v>
      </c>
      <c r="E162" s="185">
        <v>5</v>
      </c>
      <c r="F162" s="98">
        <f>+E162*D162</f>
        <v>45</v>
      </c>
      <c r="G162" s="32"/>
    </row>
    <row r="163" spans="1:7" ht="13.5" customHeight="1">
      <c r="A163" s="51"/>
      <c r="B163" s="160" t="s">
        <v>250</v>
      </c>
      <c r="C163" s="181" t="s">
        <v>162</v>
      </c>
      <c r="D163" s="180">
        <v>9</v>
      </c>
      <c r="E163" s="185">
        <v>5</v>
      </c>
      <c r="F163" s="98">
        <f t="shared" si="0"/>
        <v>45</v>
      </c>
      <c r="G163" s="32"/>
    </row>
    <row r="164" spans="1:7" ht="13.5" customHeight="1">
      <c r="A164" s="51"/>
      <c r="B164" s="160" t="s">
        <v>251</v>
      </c>
      <c r="C164" s="181" t="s">
        <v>162</v>
      </c>
      <c r="D164" s="180">
        <v>9</v>
      </c>
      <c r="E164" s="185">
        <v>5</v>
      </c>
      <c r="F164" s="98">
        <f t="shared" ref="F164:F175" si="1">+E164*D164</f>
        <v>45</v>
      </c>
      <c r="G164" s="32"/>
    </row>
    <row r="165" spans="1:7" ht="13.5" customHeight="1">
      <c r="A165" s="51"/>
      <c r="B165" s="160" t="s">
        <v>252</v>
      </c>
      <c r="C165" s="181" t="s">
        <v>162</v>
      </c>
      <c r="D165" s="180">
        <v>2</v>
      </c>
      <c r="E165" s="185">
        <v>7</v>
      </c>
      <c r="F165" s="98">
        <f t="shared" si="1"/>
        <v>14</v>
      </c>
      <c r="G165" s="32"/>
    </row>
    <row r="166" spans="1:7" ht="13.5" customHeight="1">
      <c r="A166" s="51"/>
      <c r="B166" s="160" t="s">
        <v>253</v>
      </c>
      <c r="C166" s="181" t="s">
        <v>162</v>
      </c>
      <c r="D166" s="180">
        <v>5</v>
      </c>
      <c r="E166" s="185">
        <v>5</v>
      </c>
      <c r="F166" s="98">
        <f t="shared" si="1"/>
        <v>25</v>
      </c>
      <c r="G166" s="32"/>
    </row>
    <row r="167" spans="1:7" ht="13.5" customHeight="1">
      <c r="A167" s="51"/>
      <c r="B167" s="160" t="s">
        <v>199</v>
      </c>
      <c r="C167" s="181" t="s">
        <v>162</v>
      </c>
      <c r="D167" s="180">
        <v>45</v>
      </c>
      <c r="E167" s="185">
        <v>4</v>
      </c>
      <c r="F167" s="98">
        <f t="shared" si="1"/>
        <v>180</v>
      </c>
      <c r="G167" s="32"/>
    </row>
    <row r="168" spans="1:7" ht="13.5" customHeight="1">
      <c r="A168" s="51"/>
      <c r="B168" s="160" t="s">
        <v>200</v>
      </c>
      <c r="C168" s="100" t="s">
        <v>162</v>
      </c>
      <c r="D168" s="104">
        <v>45</v>
      </c>
      <c r="E168" s="235">
        <v>8</v>
      </c>
      <c r="F168" s="98">
        <f t="shared" si="1"/>
        <v>360</v>
      </c>
      <c r="G168" s="32"/>
    </row>
    <row r="169" spans="1:7" ht="13.5" customHeight="1">
      <c r="A169" s="51"/>
      <c r="B169" s="160" t="s">
        <v>201</v>
      </c>
      <c r="C169" s="100" t="s">
        <v>162</v>
      </c>
      <c r="D169" s="104">
        <v>45</v>
      </c>
      <c r="E169" s="235">
        <v>4</v>
      </c>
      <c r="F169" s="98">
        <f t="shared" si="1"/>
        <v>180</v>
      </c>
      <c r="G169" s="32"/>
    </row>
    <row r="170" spans="1:7" ht="13.5" customHeight="1">
      <c r="A170" s="51"/>
      <c r="B170" s="160" t="s">
        <v>202</v>
      </c>
      <c r="C170" s="100" t="s">
        <v>162</v>
      </c>
      <c r="D170" s="104">
        <v>1</v>
      </c>
      <c r="E170" s="235">
        <v>78.459999999999994</v>
      </c>
      <c r="F170" s="98">
        <f t="shared" si="1"/>
        <v>78.459999999999994</v>
      </c>
      <c r="G170" s="32"/>
    </row>
    <row r="171" spans="1:7" ht="13.5" customHeight="1">
      <c r="A171" s="51"/>
      <c r="B171" s="160" t="s">
        <v>203</v>
      </c>
      <c r="C171" s="100" t="s">
        <v>162</v>
      </c>
      <c r="D171" s="104">
        <v>45</v>
      </c>
      <c r="E171" s="235">
        <v>3.5</v>
      </c>
      <c r="F171" s="98">
        <f t="shared" si="1"/>
        <v>157.5</v>
      </c>
      <c r="G171" s="32"/>
    </row>
    <row r="172" spans="1:7" ht="13.5" customHeight="1">
      <c r="A172" s="51"/>
      <c r="B172" s="160" t="s">
        <v>204</v>
      </c>
      <c r="C172" s="100" t="s">
        <v>162</v>
      </c>
      <c r="D172" s="104">
        <v>45</v>
      </c>
      <c r="E172" s="235">
        <v>1</v>
      </c>
      <c r="F172" s="98">
        <f t="shared" si="1"/>
        <v>45</v>
      </c>
      <c r="G172" s="32"/>
    </row>
    <row r="173" spans="1:7" ht="13.5" customHeight="1">
      <c r="A173" s="51"/>
      <c r="B173" s="160" t="s">
        <v>254</v>
      </c>
      <c r="C173" s="100" t="s">
        <v>162</v>
      </c>
      <c r="D173" s="104">
        <v>1</v>
      </c>
      <c r="E173" s="235">
        <v>230</v>
      </c>
      <c r="F173" s="98">
        <f t="shared" si="1"/>
        <v>230</v>
      </c>
      <c r="G173" s="32"/>
    </row>
    <row r="174" spans="1:7" ht="13.5" customHeight="1">
      <c r="A174" s="51"/>
      <c r="B174" s="160" t="s">
        <v>255</v>
      </c>
      <c r="C174" s="100" t="s">
        <v>162</v>
      </c>
      <c r="D174" s="104">
        <v>1</v>
      </c>
      <c r="E174" s="235">
        <v>40</v>
      </c>
      <c r="F174" s="98">
        <f t="shared" si="1"/>
        <v>40</v>
      </c>
      <c r="G174" s="32"/>
    </row>
    <row r="175" spans="1:7" ht="13.5" customHeight="1">
      <c r="A175" s="51"/>
      <c r="B175" s="160" t="s">
        <v>256</v>
      </c>
      <c r="C175" s="100" t="s">
        <v>162</v>
      </c>
      <c r="D175" s="104">
        <v>1</v>
      </c>
      <c r="E175" s="235">
        <v>15.48</v>
      </c>
      <c r="F175" s="98">
        <f t="shared" si="1"/>
        <v>15.48</v>
      </c>
      <c r="G175" s="32"/>
    </row>
    <row r="176" spans="1:7" ht="12.75" customHeight="1">
      <c r="A176" s="64"/>
      <c r="B176" s="486" t="s">
        <v>3</v>
      </c>
      <c r="C176" s="486"/>
      <c r="D176" s="486"/>
      <c r="E176" s="486"/>
      <c r="F176" s="265">
        <f>SUM(F98:F175)</f>
        <v>6693.49</v>
      </c>
      <c r="G176" s="103"/>
    </row>
    <row r="177" spans="1:8" ht="12.75" customHeight="1">
      <c r="A177" s="64"/>
      <c r="B177" s="118"/>
      <c r="C177" s="118"/>
      <c r="D177" s="118"/>
      <c r="E177" s="118"/>
      <c r="F177" s="118"/>
      <c r="G177" s="103"/>
    </row>
    <row r="178" spans="1:8" s="182" customFormat="1" ht="15.75">
      <c r="A178" s="242" t="s">
        <v>207</v>
      </c>
      <c r="B178" s="243"/>
      <c r="C178" s="239"/>
      <c r="D178" s="239"/>
      <c r="E178" s="240"/>
      <c r="F178" s="240" t="s">
        <v>0</v>
      </c>
      <c r="G178" s="241">
        <f>+G180</f>
        <v>1350</v>
      </c>
      <c r="H178" s="208"/>
    </row>
    <row r="179" spans="1:8" s="182" customFormat="1" ht="15.75">
      <c r="A179" s="210"/>
      <c r="B179" s="211"/>
      <c r="C179" s="212"/>
      <c r="D179" s="212"/>
      <c r="E179" s="213"/>
      <c r="F179" s="213"/>
      <c r="G179" s="214"/>
      <c r="H179" s="208"/>
    </row>
    <row r="180" spans="1:8" ht="18" customHeight="1">
      <c r="A180" s="83"/>
      <c r="B180" s="236" t="s">
        <v>55</v>
      </c>
      <c r="C180" s="85"/>
      <c r="D180" s="85"/>
      <c r="E180" s="16"/>
      <c r="F180" s="87" t="s">
        <v>0</v>
      </c>
      <c r="G180" s="88">
        <f>+F186</f>
        <v>1350</v>
      </c>
    </row>
    <row r="181" spans="1:8" ht="12.75" customHeight="1">
      <c r="A181" s="91"/>
      <c r="B181" s="92"/>
      <c r="C181" s="85"/>
      <c r="D181" s="85"/>
      <c r="E181" s="86"/>
      <c r="F181" s="85"/>
      <c r="G181" s="78"/>
    </row>
    <row r="182" spans="1:8" ht="12.75" customHeight="1">
      <c r="A182" s="64"/>
      <c r="B182" s="95" t="s">
        <v>53</v>
      </c>
      <c r="C182" s="96" t="s">
        <v>63</v>
      </c>
      <c r="D182" s="96" t="s">
        <v>25</v>
      </c>
      <c r="E182" s="96" t="s">
        <v>5</v>
      </c>
      <c r="F182" s="96" t="s">
        <v>4</v>
      </c>
      <c r="G182" s="78"/>
    </row>
    <row r="183" spans="1:8">
      <c r="A183" s="64"/>
      <c r="B183" s="54" t="s">
        <v>257</v>
      </c>
      <c r="C183" s="110" t="s">
        <v>173</v>
      </c>
      <c r="D183" s="110">
        <v>9</v>
      </c>
      <c r="E183" s="110">
        <v>120</v>
      </c>
      <c r="F183" s="54">
        <f>+D183*E183</f>
        <v>1080</v>
      </c>
      <c r="G183" s="78"/>
    </row>
    <row r="184" spans="1:8" ht="12.75" customHeight="1">
      <c r="A184" s="64"/>
      <c r="B184" s="54" t="s">
        <v>258</v>
      </c>
      <c r="C184" s="110" t="s">
        <v>162</v>
      </c>
      <c r="D184" s="110">
        <v>9</v>
      </c>
      <c r="E184" s="110">
        <v>20</v>
      </c>
      <c r="F184" s="54">
        <f>+D184*E184</f>
        <v>180</v>
      </c>
      <c r="G184" s="78"/>
    </row>
    <row r="185" spans="1:8">
      <c r="A185" s="64"/>
      <c r="B185" s="54" t="s">
        <v>259</v>
      </c>
      <c r="C185" s="110" t="s">
        <v>162</v>
      </c>
      <c r="D185" s="110">
        <v>9</v>
      </c>
      <c r="E185" s="110">
        <v>10</v>
      </c>
      <c r="F185" s="54">
        <f>+D185*E185</f>
        <v>90</v>
      </c>
      <c r="G185" s="78"/>
    </row>
    <row r="186" spans="1:8" ht="12.75" customHeight="1">
      <c r="A186" s="93"/>
      <c r="B186" s="486" t="s">
        <v>3</v>
      </c>
      <c r="C186" s="486"/>
      <c r="D186" s="486"/>
      <c r="E186" s="486"/>
      <c r="F186" s="98">
        <f>SUM(F183:F185)</f>
        <v>1350</v>
      </c>
      <c r="G186" s="78"/>
    </row>
    <row r="187" spans="1:8" ht="12.75" customHeight="1">
      <c r="A187" s="93"/>
      <c r="B187" s="118"/>
      <c r="C187" s="118"/>
      <c r="D187" s="118"/>
      <c r="E187" s="118"/>
      <c r="F187" s="85"/>
      <c r="G187" s="78"/>
    </row>
    <row r="188" spans="1:8" ht="12.75" customHeight="1">
      <c r="A188" s="93"/>
      <c r="B188" s="118"/>
      <c r="C188" s="118"/>
      <c r="D188" s="118"/>
      <c r="E188" s="118"/>
      <c r="G188" s="78"/>
    </row>
    <row r="189" spans="1:8" ht="15" hidden="1" customHeight="1">
      <c r="A189" s="83" t="s">
        <v>34</v>
      </c>
      <c r="B189" s="84" t="s">
        <v>130</v>
      </c>
      <c r="C189" s="85"/>
      <c r="D189" s="85"/>
      <c r="E189" s="16"/>
      <c r="F189" s="87" t="s">
        <v>0</v>
      </c>
      <c r="G189" s="158">
        <f>F197</f>
        <v>6445.5</v>
      </c>
    </row>
    <row r="190" spans="1:8" ht="12.75" hidden="1" customHeight="1">
      <c r="A190" s="91"/>
      <c r="B190" s="92"/>
      <c r="C190" s="85"/>
      <c r="D190" s="85"/>
      <c r="E190" s="86"/>
      <c r="F190" s="85"/>
      <c r="G190" s="78"/>
    </row>
    <row r="191" spans="1:8" ht="12.75" hidden="1" customHeight="1">
      <c r="A191" s="91">
        <v>1</v>
      </c>
      <c r="B191" s="92" t="s">
        <v>81</v>
      </c>
      <c r="C191" s="85"/>
      <c r="D191" s="85"/>
      <c r="E191" s="86"/>
      <c r="F191" s="85"/>
      <c r="G191" s="78"/>
    </row>
    <row r="192" spans="1:8" ht="12.75" hidden="1" customHeight="1">
      <c r="A192" s="91"/>
      <c r="B192" s="92"/>
      <c r="C192" s="85"/>
      <c r="D192" s="85"/>
      <c r="E192" s="86"/>
      <c r="F192" s="85"/>
      <c r="G192" s="78"/>
    </row>
    <row r="193" spans="1:7" ht="12.75" hidden="1" customHeight="1">
      <c r="A193" s="91"/>
      <c r="B193" s="95" t="s">
        <v>53</v>
      </c>
      <c r="C193" s="96" t="s">
        <v>63</v>
      </c>
      <c r="D193" s="96" t="s">
        <v>25</v>
      </c>
      <c r="E193" s="96" t="s">
        <v>5</v>
      </c>
      <c r="F193" s="96" t="s">
        <v>4</v>
      </c>
      <c r="G193" s="78"/>
    </row>
    <row r="194" spans="1:7" ht="14.25" hidden="1" customHeight="1">
      <c r="A194" s="91"/>
      <c r="B194" s="121" t="s">
        <v>128</v>
      </c>
      <c r="C194" s="14" t="s">
        <v>63</v>
      </c>
      <c r="D194" s="86">
        <v>1</v>
      </c>
      <c r="E194" s="53">
        <v>165</v>
      </c>
      <c r="F194" s="159">
        <f>D194*E194</f>
        <v>165</v>
      </c>
      <c r="G194" s="78"/>
    </row>
    <row r="195" spans="1:7" ht="14.25" hidden="1" customHeight="1">
      <c r="A195" s="91"/>
      <c r="B195" s="160" t="s">
        <v>127</v>
      </c>
      <c r="C195" s="14" t="s">
        <v>63</v>
      </c>
      <c r="D195" s="86">
        <v>1</v>
      </c>
      <c r="E195" s="53">
        <v>5600</v>
      </c>
      <c r="F195" s="159">
        <f>D195*E195</f>
        <v>5600</v>
      </c>
      <c r="G195" s="78"/>
    </row>
    <row r="196" spans="1:7" ht="12.75" hidden="1" customHeight="1">
      <c r="A196" s="91"/>
      <c r="B196" s="161" t="s">
        <v>114</v>
      </c>
      <c r="C196" s="100" t="s">
        <v>63</v>
      </c>
      <c r="D196" s="162">
        <v>1</v>
      </c>
      <c r="E196" s="100">
        <v>680.5</v>
      </c>
      <c r="F196" s="163">
        <f>+D196*E196</f>
        <v>680.5</v>
      </c>
      <c r="G196" s="78"/>
    </row>
    <row r="197" spans="1:7" ht="12.75" hidden="1" customHeight="1">
      <c r="A197" s="91"/>
      <c r="B197" s="495" t="s">
        <v>3</v>
      </c>
      <c r="C197" s="496"/>
      <c r="D197" s="496"/>
      <c r="E197" s="497"/>
      <c r="F197" s="98">
        <f>SUM(F194:F196)</f>
        <v>6445.5</v>
      </c>
      <c r="G197" s="78"/>
    </row>
    <row r="198" spans="1:7" ht="12.75" hidden="1" customHeight="1">
      <c r="A198" s="93"/>
      <c r="B198" s="118"/>
      <c r="C198" s="118"/>
      <c r="D198" s="118"/>
      <c r="E198" s="118"/>
      <c r="F198" s="85"/>
      <c r="G198" s="78"/>
    </row>
    <row r="199" spans="1:7" ht="12.75" hidden="1" customHeight="1">
      <c r="A199" s="93"/>
      <c r="B199" s="118"/>
      <c r="C199" s="118"/>
      <c r="D199" s="118"/>
      <c r="E199" s="118"/>
      <c r="F199" s="85"/>
      <c r="G199" s="78"/>
    </row>
    <row r="200" spans="1:7" ht="15.75">
      <c r="A200" s="499" t="s">
        <v>262</v>
      </c>
      <c r="B200" s="499"/>
      <c r="C200" s="499"/>
      <c r="D200" s="499"/>
      <c r="E200" s="499"/>
      <c r="F200" s="87" t="s">
        <v>0</v>
      </c>
      <c r="G200" s="164">
        <f>+G18</f>
        <v>18403.09</v>
      </c>
    </row>
    <row r="203" spans="1:7">
      <c r="G203" s="80"/>
    </row>
    <row r="205" spans="1:7">
      <c r="G205" s="67"/>
    </row>
    <row r="206" spans="1:7">
      <c r="G206" s="165"/>
    </row>
    <row r="207" spans="1:7">
      <c r="G207" s="165"/>
    </row>
    <row r="208" spans="1:7">
      <c r="F208" s="80"/>
      <c r="G208" s="67"/>
    </row>
  </sheetData>
  <mergeCells count="16">
    <mergeCell ref="A1:G1"/>
    <mergeCell ref="C9:G10"/>
    <mergeCell ref="C13:F13"/>
    <mergeCell ref="B18:F18"/>
    <mergeCell ref="A22:G22"/>
    <mergeCell ref="A24:G24"/>
    <mergeCell ref="A200:E200"/>
    <mergeCell ref="B176:E176"/>
    <mergeCell ref="B186:E186"/>
    <mergeCell ref="B197:E197"/>
    <mergeCell ref="B37:E37"/>
    <mergeCell ref="B49:E49"/>
    <mergeCell ref="B59:E59"/>
    <mergeCell ref="B70:E70"/>
    <mergeCell ref="B79:E79"/>
    <mergeCell ref="B90:E90"/>
  </mergeCells>
  <printOptions horizontalCentered="1"/>
  <pageMargins left="0.55000000000000004" right="0.19685039370078741" top="0.98425196850393704" bottom="0.39370078740157483" header="0.02" footer="0"/>
  <pageSetup paperSize="9" scale="68" orientation="portrait" horizontalDpi="4294967292" verticalDpi="180" r:id="rId1"/>
  <headerFooter alignWithMargins="0"/>
  <rowBreaks count="3" manualBreakCount="3">
    <brk id="20" max="16383" man="1"/>
    <brk id="90" max="6" man="1"/>
    <brk id="152" max="6" man="1"/>
  </rowBreak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1">
    <tabColor indexed="43"/>
  </sheetPr>
  <dimension ref="A1:J163"/>
  <sheetViews>
    <sheetView view="pageBreakPreview" topLeftCell="A16" zoomScale="106" zoomScaleNormal="100" zoomScaleSheetLayoutView="106" workbookViewId="0">
      <selection activeCell="B44" sqref="B44:E44"/>
    </sheetView>
  </sheetViews>
  <sheetFormatPr baseColWidth="10" defaultColWidth="11.42578125" defaultRowHeight="12.75"/>
  <cols>
    <col min="1" max="1" width="7.5703125" style="70" customWidth="1"/>
    <col min="2" max="2" width="46" style="70" customWidth="1"/>
    <col min="3" max="3" width="20.5703125" style="70" customWidth="1"/>
    <col min="4" max="4" width="15.7109375" style="70" customWidth="1"/>
    <col min="5" max="5" width="11.140625" style="73" customWidth="1"/>
    <col min="6" max="6" width="16.42578125" style="70" customWidth="1"/>
    <col min="7" max="7" width="16.85546875" style="70" customWidth="1"/>
    <col min="8" max="16384" width="11.42578125" style="63"/>
  </cols>
  <sheetData>
    <row r="1" spans="1:7" ht="20.25" customHeight="1"/>
    <row r="2" spans="1:7" ht="20.25" customHeight="1"/>
    <row r="3" spans="1:7" ht="27" customHeight="1">
      <c r="A3" s="505" t="s">
        <v>587</v>
      </c>
      <c r="B3" s="505"/>
      <c r="C3" s="505"/>
      <c r="D3" s="505"/>
      <c r="E3" s="505"/>
      <c r="F3" s="505"/>
      <c r="G3" s="505"/>
    </row>
    <row r="4" spans="1:7" ht="18" customHeight="1">
      <c r="A4" s="65"/>
      <c r="B4" s="65"/>
      <c r="C4" s="65"/>
      <c r="D4" s="65"/>
      <c r="E4" s="66"/>
      <c r="F4" s="65"/>
      <c r="G4" s="65"/>
    </row>
    <row r="5" spans="1:7" ht="18" customHeight="1">
      <c r="B5" s="68"/>
      <c r="C5" s="69"/>
      <c r="D5" s="65"/>
      <c r="E5" s="66"/>
      <c r="F5" s="65"/>
    </row>
    <row r="6" spans="1:7" ht="18" customHeight="1">
      <c r="B6" s="68" t="s">
        <v>35</v>
      </c>
      <c r="C6" s="30" t="str">
        <f>'R'!C9</f>
        <v>:</v>
      </c>
      <c r="D6" s="65"/>
      <c r="E6" s="66"/>
      <c r="F6" s="65"/>
      <c r="G6" s="65"/>
    </row>
    <row r="7" spans="1:7" ht="18" customHeight="1">
      <c r="B7" s="68" t="s">
        <v>65</v>
      </c>
      <c r="C7" s="30" t="str">
        <f>'R'!C10</f>
        <v>:22 EDUCACIÓN</v>
      </c>
      <c r="G7" s="33" t="s">
        <v>1</v>
      </c>
    </row>
    <row r="8" spans="1:7" ht="18" customHeight="1">
      <c r="B8" s="29" t="s">
        <v>66</v>
      </c>
      <c r="C8" s="30" t="str">
        <f>'R'!C11</f>
        <v>:047 EDUCACIÓN BÁSICA</v>
      </c>
      <c r="G8" s="33"/>
    </row>
    <row r="9" spans="1:7" ht="18" customHeight="1">
      <c r="B9" s="29" t="s">
        <v>67</v>
      </c>
      <c r="C9" s="30" t="str">
        <f>'R'!C12</f>
        <v>:EDUCACIÓN PRIMARIA SECUNDARIA</v>
      </c>
    </row>
    <row r="10" spans="1:7" ht="18" customHeight="1">
      <c r="B10" s="29" t="s">
        <v>111</v>
      </c>
      <c r="C10" s="502" t="s">
        <v>652</v>
      </c>
      <c r="D10" s="502"/>
      <c r="E10" s="502"/>
      <c r="F10" s="502"/>
      <c r="G10" s="502"/>
    </row>
    <row r="11" spans="1:7" ht="22.9" customHeight="1">
      <c r="B11" s="29"/>
      <c r="C11" s="502"/>
      <c r="D11" s="502"/>
      <c r="E11" s="502"/>
      <c r="F11" s="502"/>
      <c r="G11" s="502"/>
    </row>
    <row r="12" spans="1:7" ht="18" customHeight="1">
      <c r="B12" s="29"/>
      <c r="C12" s="30"/>
      <c r="D12" s="65"/>
    </row>
    <row r="13" spans="1:7" ht="18" customHeight="1" thickBot="1">
      <c r="B13" s="29"/>
      <c r="C13" s="30"/>
      <c r="D13" s="65"/>
    </row>
    <row r="14" spans="1:7" s="182" customFormat="1" ht="20.25" customHeight="1" thickBot="1">
      <c r="A14" s="183"/>
      <c r="B14" s="224" t="s">
        <v>36</v>
      </c>
      <c r="C14" s="487" t="s">
        <v>37</v>
      </c>
      <c r="D14" s="487"/>
      <c r="E14" s="487"/>
      <c r="F14" s="487"/>
      <c r="G14" s="225" t="s">
        <v>212</v>
      </c>
    </row>
    <row r="15" spans="1:7" s="182" customFormat="1" ht="20.25" customHeight="1">
      <c r="A15" s="183"/>
      <c r="B15" s="204" t="str">
        <f>'R'!A16</f>
        <v>2.6.2.2.2.4</v>
      </c>
      <c r="C15" s="205" t="s">
        <v>144</v>
      </c>
      <c r="D15" s="205"/>
      <c r="E15" s="205"/>
      <c r="F15" s="206"/>
      <c r="G15" s="207">
        <f>+G33</f>
        <v>14200.0625</v>
      </c>
    </row>
    <row r="16" spans="1:7" s="182" customFormat="1" ht="20.25" customHeight="1">
      <c r="A16" s="183"/>
      <c r="B16" s="204" t="str">
        <f>'R'!A17</f>
        <v>2.6.2.2.2.5</v>
      </c>
      <c r="C16" s="199" t="s">
        <v>145</v>
      </c>
      <c r="D16" s="199"/>
      <c r="E16" s="199"/>
      <c r="F16" s="200"/>
      <c r="G16" s="201">
        <f>+G99</f>
        <v>964</v>
      </c>
    </row>
    <row r="17" spans="1:10" s="182" customFormat="1" ht="20.25" customHeight="1">
      <c r="A17" s="183"/>
      <c r="B17" s="204" t="str">
        <f>'R'!A18</f>
        <v>2.6.2.2.2.6</v>
      </c>
      <c r="C17" s="202" t="s">
        <v>146</v>
      </c>
      <c r="D17" s="202"/>
      <c r="E17" s="202"/>
      <c r="F17" s="200"/>
      <c r="G17" s="201">
        <f>+G126</f>
        <v>300</v>
      </c>
    </row>
    <row r="18" spans="1:10" s="182" customFormat="1" ht="20.25" customHeight="1">
      <c r="A18" s="183"/>
      <c r="B18" s="204" t="str">
        <f>'R'!A19</f>
        <v>2.6.2.2.2.7</v>
      </c>
      <c r="C18" s="199" t="s">
        <v>147</v>
      </c>
      <c r="D18" s="199"/>
      <c r="E18" s="199"/>
      <c r="F18" s="200"/>
      <c r="G18" s="201">
        <f>+G21</f>
        <v>0</v>
      </c>
    </row>
    <row r="19" spans="1:10" s="182" customFormat="1" ht="20.25" customHeight="1" thickBot="1">
      <c r="A19" s="183"/>
      <c r="B19" s="488" t="s">
        <v>589</v>
      </c>
      <c r="C19" s="489"/>
      <c r="D19" s="489"/>
      <c r="E19" s="489"/>
      <c r="F19" s="489"/>
      <c r="G19" s="203">
        <f>ROUND(SUM(G15:G18),2)</f>
        <v>15464.06</v>
      </c>
      <c r="H19" s="184"/>
      <c r="I19" s="328"/>
      <c r="J19" s="184"/>
    </row>
    <row r="20" spans="1:10" ht="18" customHeight="1">
      <c r="B20" s="75"/>
      <c r="C20" s="75"/>
      <c r="D20" s="75"/>
      <c r="E20" s="75"/>
      <c r="F20" s="88"/>
      <c r="G20" s="65"/>
    </row>
    <row r="21" spans="1:10" ht="18" customHeight="1">
      <c r="B21" s="75"/>
      <c r="C21" s="75"/>
      <c r="D21" s="75"/>
      <c r="E21" s="75"/>
      <c r="F21" s="88"/>
      <c r="G21" s="65"/>
    </row>
    <row r="22" spans="1:10" ht="18" customHeight="1">
      <c r="B22" s="75"/>
      <c r="C22" s="75"/>
      <c r="D22" s="75"/>
      <c r="E22" s="75"/>
      <c r="F22" s="88"/>
      <c r="G22" s="65"/>
    </row>
    <row r="23" spans="1:10" ht="18" customHeight="1">
      <c r="B23" s="75"/>
      <c r="C23" s="75"/>
      <c r="D23" s="75"/>
      <c r="E23" s="75"/>
      <c r="F23" s="88"/>
      <c r="G23" s="65"/>
    </row>
    <row r="24" spans="1:10" ht="18" customHeight="1">
      <c r="B24" s="75"/>
      <c r="C24" s="75"/>
      <c r="D24" s="75"/>
      <c r="E24" s="75"/>
      <c r="F24" s="88"/>
      <c r="G24" s="65"/>
    </row>
    <row r="25" spans="1:10" ht="18" customHeight="1">
      <c r="B25" s="75"/>
      <c r="C25" s="75"/>
      <c r="D25" s="75"/>
      <c r="E25" s="75"/>
      <c r="F25" s="88"/>
      <c r="G25" s="65"/>
    </row>
    <row r="26" spans="1:10" ht="18" customHeight="1">
      <c r="A26" s="77"/>
      <c r="B26" s="77"/>
      <c r="C26" s="67"/>
      <c r="D26" s="78"/>
      <c r="E26" s="79"/>
      <c r="F26" s="67"/>
    </row>
    <row r="27" spans="1:10" ht="27" customHeight="1">
      <c r="A27" s="482" t="s">
        <v>42</v>
      </c>
      <c r="B27" s="483"/>
      <c r="C27" s="483"/>
      <c r="D27" s="483"/>
      <c r="E27" s="483"/>
      <c r="F27" s="483"/>
      <c r="G27" s="483"/>
    </row>
    <row r="28" spans="1:10" ht="12" customHeight="1">
      <c r="A28" s="230"/>
      <c r="B28" s="231"/>
      <c r="C28" s="232"/>
      <c r="D28" s="231"/>
      <c r="E28" s="233"/>
      <c r="F28" s="231"/>
      <c r="G28" s="231"/>
    </row>
    <row r="29" spans="1:10" ht="27" customHeight="1">
      <c r="A29" s="482" t="s">
        <v>588</v>
      </c>
      <c r="B29" s="482"/>
      <c r="C29" s="482"/>
      <c r="D29" s="482"/>
      <c r="E29" s="482"/>
      <c r="F29" s="482"/>
      <c r="G29" s="482"/>
    </row>
    <row r="30" spans="1:10" ht="27" customHeight="1">
      <c r="A30" s="431"/>
      <c r="B30" s="431"/>
      <c r="C30" s="431"/>
      <c r="D30" s="431"/>
      <c r="E30" s="431"/>
      <c r="F30" s="431"/>
      <c r="G30" s="431"/>
    </row>
    <row r="31" spans="1:10" ht="27" customHeight="1">
      <c r="A31" s="431"/>
      <c r="B31" s="431"/>
      <c r="C31" s="431"/>
      <c r="D31" s="431"/>
      <c r="E31" s="431"/>
      <c r="F31" s="431"/>
      <c r="G31" s="431"/>
    </row>
    <row r="32" spans="1:10" ht="12.75" customHeight="1">
      <c r="A32" s="123"/>
      <c r="B32" s="123"/>
      <c r="C32" s="124"/>
      <c r="D32" s="125"/>
      <c r="E32" s="126"/>
      <c r="F32" s="123"/>
      <c r="G32" s="123"/>
    </row>
    <row r="33" spans="1:8" s="182" customFormat="1" ht="15.75">
      <c r="A33" s="237" t="s">
        <v>205</v>
      </c>
      <c r="B33" s="238"/>
      <c r="C33" s="239"/>
      <c r="D33" s="239"/>
      <c r="E33" s="240"/>
      <c r="F33" s="240" t="s">
        <v>0</v>
      </c>
      <c r="G33" s="241">
        <f>+G35+G47+G68+G88</f>
        <v>14200.0625</v>
      </c>
      <c r="H33" s="208"/>
    </row>
    <row r="34" spans="1:8" s="182" customFormat="1" ht="15.75">
      <c r="A34" s="226"/>
      <c r="B34" s="223"/>
      <c r="C34" s="212"/>
      <c r="D34" s="212"/>
      <c r="E34" s="213"/>
      <c r="F34" s="213"/>
      <c r="G34" s="214"/>
      <c r="H34" s="208"/>
    </row>
    <row r="35" spans="1:8" ht="18" customHeight="1">
      <c r="A35" s="215"/>
      <c r="B35" s="216" t="s">
        <v>11</v>
      </c>
      <c r="C35" s="217"/>
      <c r="D35" s="217"/>
      <c r="E35" s="219"/>
      <c r="F35" s="220" t="s">
        <v>0</v>
      </c>
      <c r="G35" s="221">
        <f>+F44</f>
        <v>10500</v>
      </c>
    </row>
    <row r="36" spans="1:8" ht="12.75" customHeight="1">
      <c r="A36" s="89"/>
      <c r="B36" s="90"/>
      <c r="C36" s="85"/>
      <c r="D36" s="85"/>
      <c r="E36" s="86"/>
      <c r="F36" s="85"/>
      <c r="G36" s="85"/>
    </row>
    <row r="37" spans="1:8" ht="12.75" customHeight="1">
      <c r="A37" s="91" t="s">
        <v>12</v>
      </c>
      <c r="B37" s="92" t="s">
        <v>13</v>
      </c>
      <c r="C37" s="85"/>
      <c r="D37" s="85"/>
      <c r="E37" s="86"/>
      <c r="F37" s="85"/>
      <c r="G37" s="85"/>
    </row>
    <row r="38" spans="1:8" ht="12.75" customHeight="1">
      <c r="A38" s="93"/>
      <c r="B38" s="78"/>
      <c r="C38" s="85"/>
      <c r="D38" s="85"/>
      <c r="E38" s="86"/>
      <c r="F38" s="85"/>
      <c r="G38" s="85"/>
    </row>
    <row r="39" spans="1:8" ht="12.75" customHeight="1">
      <c r="A39" s="64"/>
      <c r="B39" s="92" t="s">
        <v>44</v>
      </c>
      <c r="C39" s="78"/>
      <c r="D39" s="78"/>
      <c r="E39" s="94"/>
      <c r="F39" s="78"/>
      <c r="G39" s="85"/>
    </row>
    <row r="40" spans="1:8" ht="12.75" customHeight="1">
      <c r="A40" s="64"/>
      <c r="B40" s="92"/>
      <c r="C40" s="78"/>
      <c r="D40" s="78"/>
      <c r="E40" s="94"/>
      <c r="F40" s="78"/>
      <c r="G40" s="85"/>
    </row>
    <row r="41" spans="1:8" ht="12.75" customHeight="1">
      <c r="A41" s="93"/>
      <c r="B41" s="95" t="s">
        <v>45</v>
      </c>
      <c r="C41" s="432" t="s">
        <v>46</v>
      </c>
      <c r="D41" s="432" t="s">
        <v>47</v>
      </c>
      <c r="E41" s="432" t="s">
        <v>14</v>
      </c>
      <c r="F41" s="432" t="s">
        <v>4</v>
      </c>
      <c r="G41" s="85"/>
    </row>
    <row r="42" spans="1:8" ht="12.75" customHeight="1">
      <c r="A42" s="93"/>
      <c r="B42" s="117" t="s">
        <v>595</v>
      </c>
      <c r="C42" s="99">
        <v>1</v>
      </c>
      <c r="D42" s="99">
        <v>1</v>
      </c>
      <c r="E42" s="99">
        <v>6000</v>
      </c>
      <c r="F42" s="117">
        <f>+C42*D42*E42</f>
        <v>6000</v>
      </c>
      <c r="G42" s="85"/>
    </row>
    <row r="43" spans="1:8" ht="12.75" customHeight="1">
      <c r="A43" s="93"/>
      <c r="B43" s="117" t="s">
        <v>594</v>
      </c>
      <c r="C43" s="99">
        <v>1</v>
      </c>
      <c r="D43" s="99">
        <v>1</v>
      </c>
      <c r="E43" s="99">
        <v>4500</v>
      </c>
      <c r="F43" s="117">
        <f>+C43*D43*E43</f>
        <v>4500</v>
      </c>
      <c r="G43" s="85"/>
    </row>
    <row r="44" spans="1:8" ht="12.75" customHeight="1">
      <c r="A44" s="67"/>
      <c r="B44" s="490" t="s">
        <v>3</v>
      </c>
      <c r="C44" s="490"/>
      <c r="D44" s="490"/>
      <c r="E44" s="490"/>
      <c r="F44" s="259">
        <f>SUM(F42:F43)</f>
        <v>10500</v>
      </c>
      <c r="G44" s="78"/>
    </row>
    <row r="45" spans="1:8" ht="12.75" customHeight="1">
      <c r="A45" s="64"/>
      <c r="B45" s="85"/>
      <c r="C45" s="85"/>
      <c r="D45" s="85"/>
      <c r="E45" s="86"/>
      <c r="F45" s="85"/>
      <c r="G45" s="85"/>
    </row>
    <row r="46" spans="1:8" ht="15.75" customHeight="1">
      <c r="A46" s="64"/>
      <c r="B46" s="85"/>
      <c r="C46" s="85"/>
      <c r="D46" s="85"/>
      <c r="E46" s="86"/>
      <c r="F46" s="85"/>
      <c r="G46" s="85"/>
    </row>
    <row r="47" spans="1:8" ht="18" customHeight="1">
      <c r="A47" s="215"/>
      <c r="B47" s="216" t="s">
        <v>20</v>
      </c>
      <c r="C47" s="217"/>
      <c r="D47" s="217"/>
      <c r="E47" s="219"/>
      <c r="F47" s="220" t="s">
        <v>0</v>
      </c>
      <c r="G47" s="221">
        <f>+F56+F66</f>
        <v>1200.0625</v>
      </c>
    </row>
    <row r="48" spans="1:8" ht="12.75" customHeight="1">
      <c r="A48" s="89"/>
      <c r="B48" s="90"/>
      <c r="C48" s="85"/>
      <c r="D48" s="85"/>
      <c r="E48" s="86"/>
      <c r="F48" s="85"/>
      <c r="G48" s="85"/>
    </row>
    <row r="49" spans="1:7" ht="12.75" customHeight="1">
      <c r="A49" s="91" t="s">
        <v>12</v>
      </c>
      <c r="B49" s="92" t="s">
        <v>139</v>
      </c>
      <c r="C49" s="85"/>
      <c r="D49" s="85"/>
      <c r="E49" s="86"/>
      <c r="F49" s="85"/>
      <c r="G49" s="85"/>
    </row>
    <row r="50" spans="1:7" ht="12.75" customHeight="1">
      <c r="A50" s="91"/>
      <c r="B50" s="92"/>
      <c r="C50" s="85"/>
      <c r="D50" s="85"/>
      <c r="E50" s="86"/>
      <c r="F50" s="85"/>
      <c r="G50" s="85"/>
    </row>
    <row r="51" spans="1:7" ht="12.75" customHeight="1">
      <c r="A51" s="93"/>
      <c r="B51" s="92" t="s">
        <v>44</v>
      </c>
      <c r="C51" s="78"/>
      <c r="D51" s="78"/>
      <c r="E51" s="94"/>
      <c r="F51" s="85"/>
      <c r="G51" s="85"/>
    </row>
    <row r="52" spans="1:7" ht="12.75" customHeight="1">
      <c r="A52" s="93"/>
      <c r="B52" s="92"/>
      <c r="C52" s="78"/>
      <c r="D52" s="78"/>
      <c r="E52" s="94"/>
      <c r="F52" s="85"/>
      <c r="G52" s="85"/>
    </row>
    <row r="53" spans="1:7" ht="12.75" customHeight="1">
      <c r="A53" s="64"/>
      <c r="B53" s="95" t="s">
        <v>45</v>
      </c>
      <c r="C53" s="432" t="s">
        <v>46</v>
      </c>
      <c r="D53" s="432" t="s">
        <v>47</v>
      </c>
      <c r="E53" s="432" t="s">
        <v>14</v>
      </c>
      <c r="F53" s="432" t="s">
        <v>4</v>
      </c>
      <c r="G53" s="85"/>
    </row>
    <row r="54" spans="1:7" ht="12.75" customHeight="1">
      <c r="A54" s="64"/>
      <c r="B54" s="117" t="str">
        <f t="shared" ref="B54:D55" si="0">+B42</f>
        <v xml:space="preserve">INGENIERO CIVIL </v>
      </c>
      <c r="C54" s="99">
        <f t="shared" si="0"/>
        <v>1</v>
      </c>
      <c r="D54" s="99">
        <f t="shared" si="0"/>
        <v>1</v>
      </c>
      <c r="E54" s="99">
        <f>+(E42+E84)*0.09</f>
        <v>585</v>
      </c>
      <c r="F54" s="117">
        <f>+C54*D54*E54</f>
        <v>585</v>
      </c>
      <c r="G54" s="85"/>
    </row>
    <row r="55" spans="1:7" ht="12.75" customHeight="1">
      <c r="A55" s="64"/>
      <c r="B55" s="117" t="str">
        <f t="shared" si="0"/>
        <v>ASISTENTE TECNICO (PROFESIONAL)</v>
      </c>
      <c r="C55" s="99">
        <f t="shared" si="0"/>
        <v>1</v>
      </c>
      <c r="D55" s="99">
        <f t="shared" si="0"/>
        <v>1</v>
      </c>
      <c r="E55" s="99">
        <f>+(E43+E85)*0.09</f>
        <v>438.75</v>
      </c>
      <c r="F55" s="117">
        <f>+C55*D55*E55</f>
        <v>438.75</v>
      </c>
      <c r="G55" s="85"/>
    </row>
    <row r="56" spans="1:7" ht="12.75" customHeight="1">
      <c r="A56" s="64"/>
      <c r="B56" s="500" t="s">
        <v>3</v>
      </c>
      <c r="C56" s="500"/>
      <c r="D56" s="500"/>
      <c r="E56" s="500"/>
      <c r="F56" s="259">
        <f>SUM(F54:F55)</f>
        <v>1023.75</v>
      </c>
      <c r="G56" s="85"/>
    </row>
    <row r="57" spans="1:7" ht="13.5" customHeight="1">
      <c r="A57" s="64"/>
      <c r="B57" s="101"/>
      <c r="C57" s="101"/>
      <c r="D57" s="101"/>
      <c r="E57" s="86"/>
      <c r="F57" s="85"/>
      <c r="G57" s="85"/>
    </row>
    <row r="58" spans="1:7" ht="13.5" customHeight="1">
      <c r="A58" s="64"/>
      <c r="B58" s="101"/>
      <c r="C58" s="85"/>
      <c r="D58" s="101"/>
      <c r="E58" s="86"/>
      <c r="F58" s="85"/>
      <c r="G58" s="85"/>
    </row>
    <row r="59" spans="1:7" ht="12.75" customHeight="1">
      <c r="A59" s="102" t="s">
        <v>15</v>
      </c>
      <c r="B59" s="92" t="s">
        <v>85</v>
      </c>
      <c r="C59" s="85"/>
      <c r="D59" s="85"/>
      <c r="E59" s="86"/>
      <c r="F59" s="85"/>
      <c r="G59" s="85"/>
    </row>
    <row r="60" spans="1:7" ht="12.75" customHeight="1">
      <c r="A60" s="91"/>
      <c r="B60" s="92"/>
      <c r="C60" s="85"/>
      <c r="D60" s="85"/>
      <c r="E60" s="86"/>
      <c r="F60" s="85"/>
      <c r="G60" s="85"/>
    </row>
    <row r="61" spans="1:7" ht="12.75" customHeight="1">
      <c r="A61" s="64"/>
      <c r="B61" s="92" t="s">
        <v>44</v>
      </c>
      <c r="C61" s="78"/>
      <c r="D61" s="78"/>
      <c r="E61" s="94"/>
      <c r="F61" s="85"/>
      <c r="G61" s="85"/>
    </row>
    <row r="62" spans="1:7" ht="12.75" customHeight="1">
      <c r="A62" s="64"/>
      <c r="B62" s="92"/>
      <c r="C62" s="78"/>
      <c r="D62" s="78"/>
      <c r="E62" s="94"/>
      <c r="F62" s="85"/>
      <c r="G62" s="85"/>
    </row>
    <row r="63" spans="1:7" ht="12.75" customHeight="1">
      <c r="A63" s="64"/>
      <c r="B63" s="95" t="s">
        <v>45</v>
      </c>
      <c r="C63" s="432" t="s">
        <v>46</v>
      </c>
      <c r="D63" s="432" t="s">
        <v>47</v>
      </c>
      <c r="E63" s="432" t="s">
        <v>14</v>
      </c>
      <c r="F63" s="432" t="s">
        <v>4</v>
      </c>
      <c r="G63" s="85"/>
    </row>
    <row r="64" spans="1:7" ht="12.75" customHeight="1">
      <c r="A64" s="64"/>
      <c r="B64" s="117" t="str">
        <f t="shared" ref="B64:D65" si="1">+B42</f>
        <v xml:space="preserve">INGENIERO CIVIL </v>
      </c>
      <c r="C64" s="99">
        <f t="shared" si="1"/>
        <v>1</v>
      </c>
      <c r="D64" s="99">
        <f t="shared" si="1"/>
        <v>1</v>
      </c>
      <c r="E64" s="99">
        <f>+(E42+E84)*0.0155</f>
        <v>100.75</v>
      </c>
      <c r="F64" s="117">
        <f>+C64*D64*E64</f>
        <v>100.75</v>
      </c>
      <c r="G64" s="85"/>
    </row>
    <row r="65" spans="1:7" ht="12.75" customHeight="1">
      <c r="A65" s="64"/>
      <c r="B65" s="117" t="str">
        <f t="shared" si="1"/>
        <v>ASISTENTE TECNICO (PROFESIONAL)</v>
      </c>
      <c r="C65" s="99">
        <f t="shared" si="1"/>
        <v>1</v>
      </c>
      <c r="D65" s="99">
        <f t="shared" si="1"/>
        <v>1</v>
      </c>
      <c r="E65" s="99">
        <f>+(E43+E85)*0.0155</f>
        <v>75.5625</v>
      </c>
      <c r="F65" s="117">
        <f>+C65*D65*E65</f>
        <v>75.5625</v>
      </c>
      <c r="G65" s="85"/>
    </row>
    <row r="66" spans="1:7" ht="12.75" customHeight="1">
      <c r="A66" s="64"/>
      <c r="B66" s="486" t="s">
        <v>3</v>
      </c>
      <c r="C66" s="486"/>
      <c r="D66" s="486"/>
      <c r="E66" s="486"/>
      <c r="F66" s="259">
        <f>SUM(F64:F65)</f>
        <v>176.3125</v>
      </c>
      <c r="G66" s="85"/>
    </row>
    <row r="67" spans="1:7" ht="12.75" customHeight="1">
      <c r="A67" s="64"/>
      <c r="B67" s="101"/>
      <c r="C67" s="85"/>
      <c r="D67" s="101"/>
      <c r="E67" s="86"/>
      <c r="F67" s="85"/>
      <c r="G67" s="85"/>
    </row>
    <row r="68" spans="1:7" ht="18" customHeight="1">
      <c r="A68" s="215"/>
      <c r="B68" s="216" t="s">
        <v>22</v>
      </c>
      <c r="C68" s="217"/>
      <c r="D68" s="217"/>
      <c r="E68" s="219"/>
      <c r="F68" s="220" t="s">
        <v>0</v>
      </c>
      <c r="G68" s="221">
        <f>+F77+F86</f>
        <v>1750</v>
      </c>
    </row>
    <row r="69" spans="1:7" ht="12.75" customHeight="1">
      <c r="A69" s="91"/>
      <c r="B69" s="92"/>
      <c r="C69" s="85"/>
      <c r="D69" s="85"/>
      <c r="E69" s="86"/>
      <c r="F69" s="85"/>
      <c r="G69" s="85"/>
    </row>
    <row r="70" spans="1:7" ht="12.75" customHeight="1">
      <c r="A70" s="102" t="s">
        <v>12</v>
      </c>
      <c r="B70" s="92" t="s">
        <v>142</v>
      </c>
      <c r="C70" s="85"/>
      <c r="D70" s="85"/>
      <c r="E70" s="86"/>
      <c r="F70" s="85"/>
      <c r="G70" s="85"/>
    </row>
    <row r="71" spans="1:7" ht="12.75" customHeight="1">
      <c r="A71" s="93"/>
      <c r="B71" s="103"/>
      <c r="C71" s="85"/>
      <c r="D71" s="85"/>
      <c r="E71" s="86"/>
      <c r="F71" s="85"/>
      <c r="G71" s="85"/>
    </row>
    <row r="72" spans="1:7" ht="12.75" customHeight="1">
      <c r="A72" s="64"/>
      <c r="B72" s="92" t="s">
        <v>44</v>
      </c>
      <c r="C72" s="78"/>
      <c r="D72" s="78"/>
      <c r="E72" s="94"/>
      <c r="F72" s="78"/>
      <c r="G72" s="85"/>
    </row>
    <row r="73" spans="1:7" ht="12.75" customHeight="1">
      <c r="A73" s="64"/>
      <c r="B73" s="92"/>
      <c r="C73" s="78"/>
      <c r="D73" s="78"/>
      <c r="E73" s="94"/>
      <c r="F73" s="78"/>
      <c r="G73" s="85"/>
    </row>
    <row r="74" spans="1:7" ht="12.75" customHeight="1">
      <c r="A74" s="64"/>
      <c r="B74" s="95" t="s">
        <v>45</v>
      </c>
      <c r="C74" s="432" t="s">
        <v>46</v>
      </c>
      <c r="D74" s="432" t="s">
        <v>47</v>
      </c>
      <c r="E74" s="432" t="s">
        <v>14</v>
      </c>
      <c r="F74" s="432" t="s">
        <v>4</v>
      </c>
      <c r="G74" s="85"/>
    </row>
    <row r="75" spans="1:7" ht="12.75" customHeight="1">
      <c r="A75" s="64"/>
      <c r="B75" s="117" t="str">
        <f t="shared" ref="B75:D76" si="2">+B42</f>
        <v xml:space="preserve">INGENIERO CIVIL </v>
      </c>
      <c r="C75" s="99">
        <f t="shared" si="2"/>
        <v>1</v>
      </c>
      <c r="D75" s="99">
        <f t="shared" si="2"/>
        <v>1</v>
      </c>
      <c r="E75" s="99">
        <f>+E42/12</f>
        <v>500</v>
      </c>
      <c r="F75" s="117">
        <f>+C75*D75*E75</f>
        <v>500</v>
      </c>
      <c r="G75" s="85"/>
    </row>
    <row r="76" spans="1:7" ht="12.75" customHeight="1">
      <c r="A76" s="64"/>
      <c r="B76" s="117" t="str">
        <f t="shared" si="2"/>
        <v>ASISTENTE TECNICO (PROFESIONAL)</v>
      </c>
      <c r="C76" s="99">
        <f t="shared" si="2"/>
        <v>1</v>
      </c>
      <c r="D76" s="99">
        <f t="shared" si="2"/>
        <v>1</v>
      </c>
      <c r="E76" s="99">
        <f>+E43/12</f>
        <v>375</v>
      </c>
      <c r="F76" s="117">
        <f>+C76*D76*E76</f>
        <v>375</v>
      </c>
      <c r="G76" s="85"/>
    </row>
    <row r="77" spans="1:7" ht="12.75" customHeight="1">
      <c r="A77" s="64"/>
      <c r="B77" s="498" t="s">
        <v>3</v>
      </c>
      <c r="C77" s="498"/>
      <c r="D77" s="498"/>
      <c r="E77" s="498"/>
      <c r="F77" s="259">
        <f>SUM(F75:F76)</f>
        <v>875</v>
      </c>
      <c r="G77" s="85"/>
    </row>
    <row r="78" spans="1:7" ht="12.75" customHeight="1">
      <c r="A78" s="91"/>
      <c r="B78" s="92"/>
      <c r="C78" s="85"/>
      <c r="D78" s="85"/>
      <c r="E78" s="86"/>
      <c r="F78" s="85"/>
      <c r="G78" s="85"/>
    </row>
    <row r="79" spans="1:7" ht="12.75" customHeight="1">
      <c r="A79" s="102" t="s">
        <v>15</v>
      </c>
      <c r="B79" s="92" t="s">
        <v>141</v>
      </c>
      <c r="C79" s="85"/>
      <c r="D79" s="85"/>
      <c r="E79" s="86"/>
      <c r="F79" s="85"/>
      <c r="G79" s="85"/>
    </row>
    <row r="80" spans="1:7" ht="12.75" customHeight="1">
      <c r="A80" s="93"/>
      <c r="B80" s="103"/>
      <c r="C80" s="85"/>
      <c r="D80" s="85"/>
      <c r="E80" s="86"/>
      <c r="F80" s="85"/>
      <c r="G80" s="85"/>
    </row>
    <row r="81" spans="1:7" ht="12.75" customHeight="1">
      <c r="A81" s="64"/>
      <c r="B81" s="92" t="s">
        <v>44</v>
      </c>
      <c r="C81" s="78"/>
      <c r="D81" s="78"/>
      <c r="E81" s="94"/>
      <c r="F81" s="78"/>
      <c r="G81" s="85"/>
    </row>
    <row r="82" spans="1:7" ht="12.75" customHeight="1">
      <c r="A82" s="64"/>
      <c r="B82" s="92"/>
      <c r="C82" s="78"/>
      <c r="D82" s="78"/>
      <c r="E82" s="94"/>
      <c r="F82" s="78"/>
      <c r="G82" s="85"/>
    </row>
    <row r="83" spans="1:7" ht="12.75" customHeight="1">
      <c r="A83" s="64"/>
      <c r="B83" s="95" t="s">
        <v>45</v>
      </c>
      <c r="C83" s="432" t="s">
        <v>46</v>
      </c>
      <c r="D83" s="432" t="s">
        <v>47</v>
      </c>
      <c r="E83" s="432" t="s">
        <v>14</v>
      </c>
      <c r="F83" s="432" t="s">
        <v>4</v>
      </c>
      <c r="G83" s="85"/>
    </row>
    <row r="84" spans="1:7" ht="12.75" customHeight="1">
      <c r="A84" s="64"/>
      <c r="B84" s="117" t="str">
        <f t="shared" ref="B84:D85" si="3">+B42</f>
        <v xml:space="preserve">INGENIERO CIVIL </v>
      </c>
      <c r="C84" s="99">
        <f t="shared" si="3"/>
        <v>1</v>
      </c>
      <c r="D84" s="99">
        <f t="shared" si="3"/>
        <v>1</v>
      </c>
      <c r="E84" s="99">
        <f>+E42/12</f>
        <v>500</v>
      </c>
      <c r="F84" s="117">
        <f>+C84*D84*E84</f>
        <v>500</v>
      </c>
      <c r="G84" s="85"/>
    </row>
    <row r="85" spans="1:7" ht="12.75" customHeight="1">
      <c r="A85" s="64"/>
      <c r="B85" s="117" t="str">
        <f t="shared" si="3"/>
        <v>ASISTENTE TECNICO (PROFESIONAL)</v>
      </c>
      <c r="C85" s="99">
        <f t="shared" si="3"/>
        <v>1</v>
      </c>
      <c r="D85" s="99">
        <f t="shared" si="3"/>
        <v>1</v>
      </c>
      <c r="E85" s="99">
        <f>+E43/12</f>
        <v>375</v>
      </c>
      <c r="F85" s="117">
        <f>+C85*D85*E85</f>
        <v>375</v>
      </c>
      <c r="G85" s="85"/>
    </row>
    <row r="86" spans="1:7" ht="12.75" customHeight="1">
      <c r="A86" s="64"/>
      <c r="B86" s="498" t="s">
        <v>3</v>
      </c>
      <c r="C86" s="498"/>
      <c r="D86" s="498"/>
      <c r="E86" s="498"/>
      <c r="F86" s="259">
        <f>SUM(F84:F85)</f>
        <v>875</v>
      </c>
      <c r="G86" s="85"/>
    </row>
    <row r="87" spans="1:7" ht="12.75" customHeight="1">
      <c r="A87" s="91"/>
      <c r="B87" s="92"/>
      <c r="C87" s="85"/>
      <c r="D87" s="85"/>
      <c r="E87" s="86"/>
      <c r="F87" s="85"/>
      <c r="G87" s="85"/>
    </row>
    <row r="88" spans="1:7" ht="18" customHeight="1">
      <c r="A88" s="215">
        <v>4</v>
      </c>
      <c r="B88" s="216" t="s">
        <v>110</v>
      </c>
      <c r="C88" s="217"/>
      <c r="D88" s="217"/>
      <c r="E88" s="219"/>
      <c r="F88" s="220" t="s">
        <v>0</v>
      </c>
      <c r="G88" s="221">
        <f>+G90</f>
        <v>750</v>
      </c>
    </row>
    <row r="89" spans="1:7" ht="12.75" customHeight="1">
      <c r="A89" s="91"/>
      <c r="B89" s="92"/>
      <c r="C89" s="85"/>
      <c r="D89" s="85"/>
      <c r="E89" s="86"/>
      <c r="F89" s="85"/>
      <c r="G89" s="85"/>
    </row>
    <row r="90" spans="1:7" ht="14.25" customHeight="1">
      <c r="A90" s="91">
        <v>4.01</v>
      </c>
      <c r="B90" s="92" t="s">
        <v>140</v>
      </c>
      <c r="C90" s="78"/>
      <c r="D90" s="78"/>
      <c r="E90" s="94"/>
      <c r="F90" s="87" t="s">
        <v>0</v>
      </c>
      <c r="G90" s="88">
        <f>+F97</f>
        <v>750</v>
      </c>
    </row>
    <row r="91" spans="1:7" ht="12.75" customHeight="1">
      <c r="A91" s="102"/>
      <c r="B91" s="92"/>
      <c r="C91" s="78"/>
      <c r="D91" s="78"/>
      <c r="E91" s="94"/>
      <c r="F91" s="78"/>
      <c r="G91" s="85"/>
    </row>
    <row r="92" spans="1:7" ht="12.75" customHeight="1">
      <c r="A92" s="102"/>
      <c r="B92" s="92" t="s">
        <v>44</v>
      </c>
      <c r="C92" s="78"/>
      <c r="D92" s="78"/>
      <c r="E92" s="94"/>
      <c r="F92" s="78"/>
      <c r="G92" s="85"/>
    </row>
    <row r="93" spans="1:7" ht="14.25" customHeight="1">
      <c r="A93" s="64"/>
      <c r="B93" s="92"/>
      <c r="C93" s="78"/>
      <c r="D93" s="78"/>
      <c r="E93" s="94"/>
      <c r="F93" s="78"/>
      <c r="G93" s="85"/>
    </row>
    <row r="94" spans="1:7" ht="14.25" customHeight="1">
      <c r="A94" s="64"/>
      <c r="B94" s="95" t="s">
        <v>45</v>
      </c>
      <c r="C94" s="432" t="s">
        <v>46</v>
      </c>
      <c r="D94" s="432" t="s">
        <v>47</v>
      </c>
      <c r="E94" s="432" t="s">
        <v>14</v>
      </c>
      <c r="F94" s="432" t="s">
        <v>4</v>
      </c>
      <c r="G94" s="85"/>
    </row>
    <row r="95" spans="1:7" ht="14.25" customHeight="1">
      <c r="A95" s="64"/>
      <c r="B95" s="117" t="str">
        <f t="shared" ref="B95:D96" si="4">+B42</f>
        <v xml:space="preserve">INGENIERO CIVIL </v>
      </c>
      <c r="C95" s="99">
        <f t="shared" si="4"/>
        <v>1</v>
      </c>
      <c r="D95" s="99">
        <f t="shared" si="4"/>
        <v>1</v>
      </c>
      <c r="E95" s="99">
        <f>+E42/12*2</f>
        <v>1000</v>
      </c>
      <c r="F95" s="117">
        <f>+C95*D95*E95</f>
        <v>1000</v>
      </c>
      <c r="G95" s="85"/>
    </row>
    <row r="96" spans="1:7" ht="14.25" customHeight="1">
      <c r="A96" s="64"/>
      <c r="B96" s="117" t="str">
        <f t="shared" si="4"/>
        <v>ASISTENTE TECNICO (PROFESIONAL)</v>
      </c>
      <c r="C96" s="99">
        <f t="shared" si="4"/>
        <v>1</v>
      </c>
      <c r="D96" s="99">
        <f t="shared" si="4"/>
        <v>1</v>
      </c>
      <c r="E96" s="99">
        <f>+E43/12*2</f>
        <v>750</v>
      </c>
      <c r="F96" s="117">
        <f>+C96*D96*E96</f>
        <v>750</v>
      </c>
      <c r="G96" s="85"/>
    </row>
    <row r="97" spans="1:8" ht="14.25" customHeight="1">
      <c r="A97" s="67"/>
      <c r="B97" s="490" t="s">
        <v>3</v>
      </c>
      <c r="C97" s="490"/>
      <c r="D97" s="490"/>
      <c r="E97" s="490"/>
      <c r="F97" s="259">
        <f>SUM(F96:F96)</f>
        <v>750</v>
      </c>
      <c r="G97" s="85"/>
    </row>
    <row r="98" spans="1:8" ht="14.25" customHeight="1">
      <c r="A98" s="64"/>
      <c r="B98" s="85"/>
      <c r="C98" s="85"/>
      <c r="D98" s="85"/>
      <c r="E98" s="86"/>
      <c r="F98" s="85"/>
      <c r="G98" s="85"/>
    </row>
    <row r="99" spans="1:8" s="182" customFormat="1" ht="15.75">
      <c r="A99" s="242" t="s">
        <v>206</v>
      </c>
      <c r="B99" s="243"/>
      <c r="C99" s="239"/>
      <c r="D99" s="239"/>
      <c r="E99" s="240"/>
      <c r="F99" s="240" t="s">
        <v>0</v>
      </c>
      <c r="G99" s="241">
        <f>+G102+G108</f>
        <v>964</v>
      </c>
      <c r="H99" s="208"/>
    </row>
    <row r="100" spans="1:8" ht="12.75" customHeight="1">
      <c r="A100" s="91"/>
      <c r="B100" s="92"/>
      <c r="C100" s="85"/>
      <c r="D100" s="85"/>
      <c r="E100" s="86"/>
      <c r="F100" s="85"/>
      <c r="G100" s="85"/>
    </row>
    <row r="101" spans="1:8" ht="12.75" customHeight="1">
      <c r="A101" s="64"/>
      <c r="B101" s="85"/>
      <c r="C101" s="85"/>
      <c r="D101" s="85"/>
      <c r="E101" s="86"/>
      <c r="F101" s="85"/>
      <c r="G101" s="85"/>
    </row>
    <row r="102" spans="1:8" ht="15" customHeight="1">
      <c r="A102" s="127">
        <v>2</v>
      </c>
      <c r="B102" s="128" t="s">
        <v>133</v>
      </c>
      <c r="C102" s="136"/>
      <c r="D102" s="137"/>
      <c r="E102" s="138"/>
      <c r="F102" s="129" t="s">
        <v>0</v>
      </c>
      <c r="G102" s="130">
        <f>+F106</f>
        <v>0</v>
      </c>
    </row>
    <row r="103" spans="1:8" ht="12.75" customHeight="1">
      <c r="A103" s="131"/>
      <c r="B103" s="132"/>
      <c r="C103" s="139"/>
      <c r="D103" s="140"/>
      <c r="E103" s="139"/>
      <c r="F103" s="140"/>
    </row>
    <row r="104" spans="1:8" ht="18" customHeight="1">
      <c r="A104" s="131"/>
      <c r="B104" s="134" t="s">
        <v>24</v>
      </c>
      <c r="C104" s="134" t="s">
        <v>2</v>
      </c>
      <c r="D104" s="134" t="s">
        <v>25</v>
      </c>
      <c r="E104" s="134" t="s">
        <v>5</v>
      </c>
      <c r="F104" s="134" t="s">
        <v>4</v>
      </c>
    </row>
    <row r="105" spans="1:8" ht="18" customHeight="1">
      <c r="A105" s="131"/>
      <c r="B105" s="186" t="s">
        <v>159</v>
      </c>
      <c r="C105" s="99" t="s">
        <v>6</v>
      </c>
      <c r="D105" s="187">
        <v>0</v>
      </c>
      <c r="E105" s="99">
        <v>14.5</v>
      </c>
      <c r="F105" s="188">
        <f>+D105*E105</f>
        <v>0</v>
      </c>
    </row>
    <row r="106" spans="1:8" ht="12.75" customHeight="1">
      <c r="A106" s="133"/>
      <c r="B106" s="486" t="s">
        <v>3</v>
      </c>
      <c r="C106" s="486"/>
      <c r="D106" s="486"/>
      <c r="E106" s="486"/>
      <c r="F106" s="265">
        <f>SUM(F105:F105)</f>
        <v>0</v>
      </c>
    </row>
    <row r="107" spans="1:8" ht="12.75" customHeight="1">
      <c r="A107" s="133"/>
      <c r="B107" s="142"/>
      <c r="C107" s="126"/>
      <c r="D107" s="143"/>
      <c r="E107" s="126"/>
      <c r="F107" s="143"/>
    </row>
    <row r="108" spans="1:8" ht="18" customHeight="1">
      <c r="A108" s="83">
        <v>3</v>
      </c>
      <c r="B108" s="128" t="s">
        <v>55</v>
      </c>
      <c r="C108" s="85"/>
      <c r="D108" s="85"/>
      <c r="E108" s="433"/>
      <c r="F108" s="87" t="s">
        <v>0</v>
      </c>
      <c r="G108" s="88">
        <f>+F123</f>
        <v>964</v>
      </c>
    </row>
    <row r="109" spans="1:8" ht="12.75" customHeight="1">
      <c r="A109" s="91"/>
      <c r="B109" s="92"/>
      <c r="C109" s="85"/>
      <c r="D109" s="85"/>
      <c r="E109" s="86"/>
      <c r="F109" s="85"/>
      <c r="G109" s="78"/>
    </row>
    <row r="110" spans="1:8" ht="12.75" customHeight="1">
      <c r="A110" s="64"/>
      <c r="B110" s="95" t="s">
        <v>53</v>
      </c>
      <c r="C110" s="432" t="s">
        <v>63</v>
      </c>
      <c r="D110" s="432" t="s">
        <v>25</v>
      </c>
      <c r="E110" s="432" t="s">
        <v>5</v>
      </c>
      <c r="F110" s="432" t="s">
        <v>4</v>
      </c>
      <c r="G110" s="78"/>
    </row>
    <row r="111" spans="1:8">
      <c r="A111" s="64"/>
      <c r="B111" s="54" t="s">
        <v>105</v>
      </c>
      <c r="C111" s="110" t="s">
        <v>2</v>
      </c>
      <c r="D111" s="110">
        <v>10</v>
      </c>
      <c r="E111" s="110">
        <v>1.5</v>
      </c>
      <c r="F111" s="54">
        <f t="shared" ref="F111:F122" si="5">+D111*E111</f>
        <v>15</v>
      </c>
      <c r="G111" s="78"/>
    </row>
    <row r="112" spans="1:8" ht="12.75" customHeight="1">
      <c r="A112" s="64"/>
      <c r="B112" s="54" t="s">
        <v>59</v>
      </c>
      <c r="C112" s="110" t="s">
        <v>2</v>
      </c>
      <c r="D112" s="110">
        <v>10</v>
      </c>
      <c r="E112" s="110">
        <v>35</v>
      </c>
      <c r="F112" s="54">
        <f t="shared" si="5"/>
        <v>350</v>
      </c>
      <c r="G112" s="78"/>
    </row>
    <row r="113" spans="1:8">
      <c r="A113" s="64"/>
      <c r="B113" s="54" t="s">
        <v>57</v>
      </c>
      <c r="C113" s="110" t="s">
        <v>2</v>
      </c>
      <c r="D113" s="110">
        <v>1</v>
      </c>
      <c r="E113" s="110">
        <v>4</v>
      </c>
      <c r="F113" s="54">
        <f t="shared" si="5"/>
        <v>4</v>
      </c>
      <c r="G113" s="78"/>
    </row>
    <row r="114" spans="1:8">
      <c r="A114" s="64"/>
      <c r="B114" s="54" t="s">
        <v>101</v>
      </c>
      <c r="C114" s="110" t="s">
        <v>2</v>
      </c>
      <c r="D114" s="110">
        <v>5</v>
      </c>
      <c r="E114" s="110">
        <v>4</v>
      </c>
      <c r="F114" s="54">
        <f t="shared" si="5"/>
        <v>20</v>
      </c>
      <c r="G114" s="78"/>
    </row>
    <row r="115" spans="1:8" ht="13.5" customHeight="1">
      <c r="A115" s="64"/>
      <c r="B115" s="54" t="s">
        <v>91</v>
      </c>
      <c r="C115" s="110" t="s">
        <v>2</v>
      </c>
      <c r="D115" s="110">
        <v>10</v>
      </c>
      <c r="E115" s="110">
        <v>1</v>
      </c>
      <c r="F115" s="54">
        <f t="shared" si="5"/>
        <v>10</v>
      </c>
      <c r="G115" s="78"/>
    </row>
    <row r="116" spans="1:8" ht="13.5" customHeight="1">
      <c r="A116" s="64"/>
      <c r="B116" s="54" t="s">
        <v>122</v>
      </c>
      <c r="C116" s="110" t="s">
        <v>332</v>
      </c>
      <c r="D116" s="110">
        <v>1</v>
      </c>
      <c r="E116" s="110">
        <v>50</v>
      </c>
      <c r="F116" s="54">
        <f t="shared" si="5"/>
        <v>50</v>
      </c>
      <c r="G116" s="78"/>
    </row>
    <row r="117" spans="1:8" ht="12" customHeight="1">
      <c r="A117" s="64"/>
      <c r="B117" s="54" t="s">
        <v>62</v>
      </c>
      <c r="C117" s="110" t="s">
        <v>56</v>
      </c>
      <c r="D117" s="110">
        <v>6</v>
      </c>
      <c r="E117" s="110">
        <v>45</v>
      </c>
      <c r="F117" s="54">
        <f t="shared" si="5"/>
        <v>270</v>
      </c>
      <c r="G117" s="78"/>
    </row>
    <row r="118" spans="1:8">
      <c r="A118" s="64"/>
      <c r="B118" s="54" t="s">
        <v>99</v>
      </c>
      <c r="C118" s="110" t="s">
        <v>2</v>
      </c>
      <c r="D118" s="110">
        <v>4</v>
      </c>
      <c r="E118" s="110">
        <v>5</v>
      </c>
      <c r="F118" s="54">
        <f t="shared" si="5"/>
        <v>20</v>
      </c>
      <c r="G118" s="78"/>
    </row>
    <row r="119" spans="1:8">
      <c r="A119" s="64"/>
      <c r="B119" s="54" t="s">
        <v>368</v>
      </c>
      <c r="C119" s="110" t="s">
        <v>2</v>
      </c>
      <c r="D119" s="110">
        <v>2</v>
      </c>
      <c r="E119" s="110">
        <v>60</v>
      </c>
      <c r="F119" s="54">
        <f t="shared" si="5"/>
        <v>120</v>
      </c>
      <c r="G119" s="78"/>
    </row>
    <row r="120" spans="1:8">
      <c r="A120" s="64"/>
      <c r="B120" s="54" t="s">
        <v>96</v>
      </c>
      <c r="C120" s="110" t="s">
        <v>2</v>
      </c>
      <c r="D120" s="110">
        <v>5</v>
      </c>
      <c r="E120" s="110">
        <v>15</v>
      </c>
      <c r="F120" s="54">
        <f t="shared" si="5"/>
        <v>75</v>
      </c>
      <c r="G120" s="78"/>
    </row>
    <row r="121" spans="1:8">
      <c r="A121" s="64"/>
      <c r="B121" s="54" t="s">
        <v>107</v>
      </c>
      <c r="C121" s="110" t="s">
        <v>83</v>
      </c>
      <c r="D121" s="110">
        <v>3</v>
      </c>
      <c r="E121" s="110">
        <v>5</v>
      </c>
      <c r="F121" s="54">
        <f t="shared" si="5"/>
        <v>15</v>
      </c>
      <c r="G121" s="78"/>
    </row>
    <row r="122" spans="1:8">
      <c r="A122" s="64"/>
      <c r="B122" s="54" t="s">
        <v>97</v>
      </c>
      <c r="C122" s="110" t="s">
        <v>2</v>
      </c>
      <c r="D122" s="110">
        <v>3</v>
      </c>
      <c r="E122" s="110">
        <v>5</v>
      </c>
      <c r="F122" s="54">
        <f t="shared" si="5"/>
        <v>15</v>
      </c>
      <c r="G122" s="78"/>
    </row>
    <row r="123" spans="1:8" ht="12.75" customHeight="1">
      <c r="A123" s="93"/>
      <c r="B123" s="486" t="s">
        <v>3</v>
      </c>
      <c r="C123" s="486"/>
      <c r="D123" s="486"/>
      <c r="E123" s="486"/>
      <c r="F123" s="259">
        <f>SUM(F111:F122)</f>
        <v>964</v>
      </c>
      <c r="G123" s="78"/>
    </row>
    <row r="124" spans="1:8" ht="15.75" customHeight="1">
      <c r="A124" s="127"/>
      <c r="B124" s="91"/>
      <c r="C124" s="92"/>
      <c r="D124" s="144"/>
      <c r="E124" s="145"/>
      <c r="F124" s="129"/>
      <c r="G124" s="130"/>
    </row>
    <row r="125" spans="1:8" ht="12.75" customHeight="1">
      <c r="A125" s="64"/>
      <c r="B125" s="118"/>
      <c r="C125" s="118"/>
      <c r="D125" s="118"/>
      <c r="E125" s="118"/>
      <c r="F125" s="85"/>
      <c r="G125" s="78"/>
    </row>
    <row r="126" spans="1:8" s="182" customFormat="1" ht="15.75">
      <c r="A126" s="242" t="s">
        <v>207</v>
      </c>
      <c r="B126" s="243"/>
      <c r="C126" s="239"/>
      <c r="D126" s="239"/>
      <c r="E126" s="240"/>
      <c r="F126" s="240" t="s">
        <v>0</v>
      </c>
      <c r="G126" s="241">
        <f>+G134</f>
        <v>300</v>
      </c>
      <c r="H126" s="208"/>
    </row>
    <row r="127" spans="1:8" ht="16.5" customHeight="1">
      <c r="A127" s="127"/>
      <c r="B127" s="154"/>
      <c r="C127" s="146"/>
      <c r="D127" s="146"/>
      <c r="E127" s="145"/>
      <c r="F127" s="129"/>
      <c r="G127" s="130"/>
    </row>
    <row r="128" spans="1:8" ht="13.5" hidden="1" customHeight="1">
      <c r="A128" s="127" t="s">
        <v>34</v>
      </c>
      <c r="B128" s="128" t="s">
        <v>75</v>
      </c>
      <c r="C128" s="146"/>
      <c r="D128" s="146"/>
      <c r="E128" s="145"/>
      <c r="F128" s="129" t="s">
        <v>0</v>
      </c>
      <c r="G128" s="130">
        <f>+F132</f>
        <v>0</v>
      </c>
    </row>
    <row r="129" spans="1:7" ht="13.5" hidden="1" customHeight="1">
      <c r="A129" s="131"/>
      <c r="B129" s="147"/>
      <c r="C129" s="148"/>
      <c r="D129" s="148"/>
      <c r="E129" s="149"/>
      <c r="F129" s="148"/>
    </row>
    <row r="130" spans="1:7" ht="12.75" hidden="1" customHeight="1">
      <c r="A130" s="133"/>
      <c r="B130" s="150" t="s">
        <v>24</v>
      </c>
      <c r="C130" s="151" t="s">
        <v>31</v>
      </c>
      <c r="D130" s="152" t="s">
        <v>31</v>
      </c>
      <c r="E130" s="152" t="s">
        <v>49</v>
      </c>
      <c r="F130" s="152" t="s">
        <v>4</v>
      </c>
    </row>
    <row r="131" spans="1:7" hidden="1">
      <c r="A131" s="64"/>
      <c r="B131" s="155"/>
      <c r="C131" s="156"/>
      <c r="D131" s="157">
        <v>0</v>
      </c>
      <c r="E131" s="156">
        <v>0</v>
      </c>
      <c r="F131" s="157">
        <f>+D131*E131</f>
        <v>0</v>
      </c>
      <c r="G131" s="78"/>
    </row>
    <row r="132" spans="1:7" ht="13.5" hidden="1" customHeight="1">
      <c r="A132" s="133"/>
      <c r="B132" s="486" t="s">
        <v>3</v>
      </c>
      <c r="C132" s="486"/>
      <c r="D132" s="486"/>
      <c r="E132" s="486"/>
      <c r="F132" s="98">
        <f>SUM(F131:F131)</f>
        <v>0</v>
      </c>
    </row>
    <row r="133" spans="1:7" ht="12" hidden="1" customHeight="1">
      <c r="A133" s="133"/>
      <c r="B133" s="81"/>
      <c r="C133" s="81"/>
      <c r="D133" s="81"/>
      <c r="E133" s="81"/>
      <c r="F133" s="153"/>
    </row>
    <row r="134" spans="1:7" ht="16.5" customHeight="1">
      <c r="A134" s="102" t="s">
        <v>12</v>
      </c>
      <c r="B134" s="92" t="s">
        <v>33</v>
      </c>
      <c r="C134" s="146"/>
      <c r="D134" s="146"/>
      <c r="E134" s="145"/>
      <c r="F134" s="129" t="s">
        <v>0</v>
      </c>
      <c r="G134" s="130">
        <f>F139</f>
        <v>300</v>
      </c>
    </row>
    <row r="135" spans="1:7" ht="16.5" customHeight="1">
      <c r="A135" s="127"/>
      <c r="B135" s="95" t="s">
        <v>53</v>
      </c>
      <c r="C135" s="432" t="s">
        <v>63</v>
      </c>
      <c r="D135" s="432" t="s">
        <v>25</v>
      </c>
      <c r="E135" s="432" t="s">
        <v>5</v>
      </c>
      <c r="F135" s="432" t="s">
        <v>4</v>
      </c>
      <c r="G135" s="130"/>
    </row>
    <row r="136" spans="1:7" ht="16.5" customHeight="1">
      <c r="A136" s="127"/>
      <c r="B136" s="52" t="s">
        <v>134</v>
      </c>
      <c r="C136" s="53" t="s">
        <v>333</v>
      </c>
      <c r="D136" s="53">
        <v>1</v>
      </c>
      <c r="E136" s="53">
        <v>100</v>
      </c>
      <c r="F136" s="107">
        <f>+D136*E136</f>
        <v>100</v>
      </c>
      <c r="G136" s="130"/>
    </row>
    <row r="137" spans="1:7" ht="16.5" customHeight="1">
      <c r="A137" s="127"/>
      <c r="B137" s="121" t="s">
        <v>382</v>
      </c>
      <c r="C137" s="53" t="s">
        <v>333</v>
      </c>
      <c r="D137" s="53">
        <v>1</v>
      </c>
      <c r="E137" s="53">
        <v>100</v>
      </c>
      <c r="F137" s="107">
        <f>+D137*E137</f>
        <v>100</v>
      </c>
      <c r="G137" s="130"/>
    </row>
    <row r="138" spans="1:7" ht="16.5" customHeight="1">
      <c r="A138" s="127"/>
      <c r="B138" s="121" t="s">
        <v>329</v>
      </c>
      <c r="C138" s="53" t="s">
        <v>333</v>
      </c>
      <c r="D138" s="53">
        <v>1</v>
      </c>
      <c r="E138" s="53">
        <v>100</v>
      </c>
      <c r="F138" s="107">
        <f>+D138*E138</f>
        <v>100</v>
      </c>
      <c r="G138" s="130"/>
    </row>
    <row r="139" spans="1:7" ht="16.5" customHeight="1">
      <c r="A139" s="127"/>
      <c r="B139" s="495" t="s">
        <v>3</v>
      </c>
      <c r="C139" s="496"/>
      <c r="D139" s="496"/>
      <c r="E139" s="497"/>
      <c r="F139" s="259">
        <f>SUM(F136:F138)</f>
        <v>300</v>
      </c>
      <c r="G139" s="130"/>
    </row>
    <row r="140" spans="1:7" ht="12" customHeight="1">
      <c r="A140" s="133"/>
      <c r="B140" s="81"/>
      <c r="C140" s="81"/>
      <c r="D140" s="81"/>
      <c r="E140" s="81"/>
      <c r="F140" s="153"/>
    </row>
    <row r="141" spans="1:7" ht="12.75" customHeight="1">
      <c r="A141" s="93"/>
      <c r="B141" s="118"/>
      <c r="C141" s="118"/>
      <c r="D141" s="118"/>
      <c r="E141" s="118"/>
      <c r="F141" s="85"/>
      <c r="G141" s="78"/>
    </row>
    <row r="142" spans="1:7" ht="12.75" customHeight="1">
      <c r="A142" s="93"/>
      <c r="B142" s="118"/>
      <c r="C142" s="118"/>
      <c r="D142" s="118"/>
      <c r="E142" s="118"/>
      <c r="G142" s="78"/>
    </row>
    <row r="143" spans="1:7" ht="15" hidden="1" customHeight="1">
      <c r="A143" s="83" t="s">
        <v>34</v>
      </c>
      <c r="B143" s="84" t="s">
        <v>130</v>
      </c>
      <c r="C143" s="85"/>
      <c r="D143" s="85"/>
      <c r="E143" s="433"/>
      <c r="F143" s="87" t="s">
        <v>0</v>
      </c>
      <c r="G143" s="158">
        <f>F151</f>
        <v>6445.5</v>
      </c>
    </row>
    <row r="144" spans="1:7" ht="12.75" hidden="1" customHeight="1">
      <c r="A144" s="91"/>
      <c r="B144" s="92"/>
      <c r="C144" s="85"/>
      <c r="D144" s="85"/>
      <c r="E144" s="86"/>
      <c r="F144" s="85"/>
      <c r="G144" s="78"/>
    </row>
    <row r="145" spans="1:9" ht="12.75" hidden="1" customHeight="1">
      <c r="A145" s="91">
        <v>1</v>
      </c>
      <c r="B145" s="92" t="s">
        <v>81</v>
      </c>
      <c r="C145" s="85"/>
      <c r="D145" s="85"/>
      <c r="E145" s="86"/>
      <c r="F145" s="85"/>
      <c r="G145" s="78"/>
    </row>
    <row r="146" spans="1:9" ht="12.75" hidden="1" customHeight="1">
      <c r="A146" s="91"/>
      <c r="B146" s="92"/>
      <c r="C146" s="85"/>
      <c r="D146" s="85"/>
      <c r="E146" s="86"/>
      <c r="F146" s="85"/>
      <c r="G146" s="78"/>
    </row>
    <row r="147" spans="1:9" ht="12.75" hidden="1" customHeight="1">
      <c r="A147" s="91"/>
      <c r="B147" s="95" t="s">
        <v>53</v>
      </c>
      <c r="C147" s="432" t="s">
        <v>63</v>
      </c>
      <c r="D147" s="432" t="s">
        <v>25</v>
      </c>
      <c r="E147" s="432" t="s">
        <v>5</v>
      </c>
      <c r="F147" s="432" t="s">
        <v>4</v>
      </c>
      <c r="G147" s="78"/>
    </row>
    <row r="148" spans="1:9" ht="14.25" hidden="1" customHeight="1">
      <c r="A148" s="91"/>
      <c r="B148" s="121" t="s">
        <v>128</v>
      </c>
      <c r="C148" s="14" t="s">
        <v>63</v>
      </c>
      <c r="D148" s="86">
        <v>1</v>
      </c>
      <c r="E148" s="53">
        <v>165</v>
      </c>
      <c r="F148" s="159">
        <f>D148*E148</f>
        <v>165</v>
      </c>
      <c r="G148" s="78"/>
    </row>
    <row r="149" spans="1:9" ht="14.25" hidden="1" customHeight="1">
      <c r="A149" s="91"/>
      <c r="B149" s="160" t="s">
        <v>127</v>
      </c>
      <c r="C149" s="14" t="s">
        <v>63</v>
      </c>
      <c r="D149" s="86">
        <v>1</v>
      </c>
      <c r="E149" s="53">
        <v>5600</v>
      </c>
      <c r="F149" s="159">
        <f>D149*E149</f>
        <v>5600</v>
      </c>
      <c r="G149" s="78"/>
    </row>
    <row r="150" spans="1:9" ht="12.75" hidden="1" customHeight="1">
      <c r="A150" s="91"/>
      <c r="B150" s="161" t="s">
        <v>114</v>
      </c>
      <c r="C150" s="100" t="s">
        <v>63</v>
      </c>
      <c r="D150" s="162">
        <v>1</v>
      </c>
      <c r="E150" s="100">
        <v>680.5</v>
      </c>
      <c r="F150" s="163">
        <f>+D150*E150</f>
        <v>680.5</v>
      </c>
      <c r="G150" s="78"/>
    </row>
    <row r="151" spans="1:9" ht="12.75" hidden="1" customHeight="1">
      <c r="A151" s="91"/>
      <c r="B151" s="495" t="s">
        <v>3</v>
      </c>
      <c r="C151" s="496"/>
      <c r="D151" s="496"/>
      <c r="E151" s="497"/>
      <c r="F151" s="98">
        <f>SUM(F148:F150)</f>
        <v>6445.5</v>
      </c>
      <c r="G151" s="78"/>
    </row>
    <row r="152" spans="1:9" ht="12.75" hidden="1" customHeight="1">
      <c r="A152" s="93"/>
      <c r="B152" s="118"/>
      <c r="C152" s="118"/>
      <c r="D152" s="118"/>
      <c r="E152" s="118"/>
      <c r="F152" s="85"/>
      <c r="G152" s="78"/>
    </row>
    <row r="153" spans="1:9" ht="12.75" hidden="1" customHeight="1">
      <c r="A153" s="93"/>
      <c r="B153" s="118"/>
      <c r="C153" s="118"/>
      <c r="D153" s="118"/>
      <c r="E153" s="118"/>
      <c r="F153" s="85"/>
      <c r="G153" s="78"/>
    </row>
    <row r="154" spans="1:9" ht="15.75">
      <c r="A154" s="499" t="s">
        <v>589</v>
      </c>
      <c r="B154" s="499"/>
      <c r="C154" s="499"/>
      <c r="D154" s="499"/>
      <c r="E154" s="499"/>
      <c r="F154" s="87" t="s">
        <v>0</v>
      </c>
      <c r="G154" s="164">
        <f>+G19</f>
        <v>15464.06</v>
      </c>
      <c r="I154" s="63">
        <f>RESUMEN!G29</f>
        <v>342113.98833333334</v>
      </c>
    </row>
    <row r="157" spans="1:9" ht="15.75">
      <c r="G157" s="164"/>
    </row>
    <row r="158" spans="1:9" ht="15.75">
      <c r="G158" s="164"/>
    </row>
    <row r="159" spans="1:9" ht="15.75">
      <c r="A159" s="262" t="s">
        <v>278</v>
      </c>
      <c r="B159" s="262" t="s">
        <v>270</v>
      </c>
      <c r="C159" s="263" t="s">
        <v>272</v>
      </c>
      <c r="G159" s="164"/>
    </row>
    <row r="160" spans="1:9" ht="15.75">
      <c r="A160" s="261">
        <v>1</v>
      </c>
      <c r="B160" s="260" t="s">
        <v>271</v>
      </c>
      <c r="C160" s="260" t="s">
        <v>273</v>
      </c>
      <c r="G160" s="164"/>
    </row>
    <row r="161" spans="1:7" ht="15.75">
      <c r="A161" s="261">
        <v>2</v>
      </c>
      <c r="B161" s="260" t="s">
        <v>274</v>
      </c>
      <c r="C161" s="260" t="s">
        <v>275</v>
      </c>
      <c r="G161" s="164"/>
    </row>
    <row r="162" spans="1:7" ht="15.75">
      <c r="A162" s="261">
        <v>3</v>
      </c>
      <c r="B162" s="260" t="s">
        <v>276</v>
      </c>
      <c r="C162" s="260" t="s">
        <v>277</v>
      </c>
      <c r="F162" s="80"/>
      <c r="G162" s="164"/>
    </row>
    <row r="163" spans="1:7">
      <c r="A163" s="73"/>
    </row>
  </sheetData>
  <mergeCells count="18">
    <mergeCell ref="A154:E154"/>
    <mergeCell ref="B44:E44"/>
    <mergeCell ref="B56:E56"/>
    <mergeCell ref="B66:E66"/>
    <mergeCell ref="B77:E77"/>
    <mergeCell ref="B86:E86"/>
    <mergeCell ref="B97:E97"/>
    <mergeCell ref="B106:E106"/>
    <mergeCell ref="B123:E123"/>
    <mergeCell ref="B132:E132"/>
    <mergeCell ref="B139:E139"/>
    <mergeCell ref="B151:E151"/>
    <mergeCell ref="A29:G29"/>
    <mergeCell ref="A3:G3"/>
    <mergeCell ref="C10:G11"/>
    <mergeCell ref="C14:F14"/>
    <mergeCell ref="B19:F19"/>
    <mergeCell ref="A27:G27"/>
  </mergeCells>
  <printOptions horizontalCentered="1"/>
  <pageMargins left="0.98425196850393704" right="0.98425196850393704" top="1.2598425196850394" bottom="0.98425196850393704" header="0" footer="0"/>
  <pageSetup paperSize="9" scale="61" orientation="portrait" r:id="rId1"/>
  <headerFooter alignWithMargins="0"/>
  <rowBreaks count="3" manualBreakCount="3">
    <brk id="23" max="6" man="1"/>
    <brk id="87" max="6" man="1"/>
    <brk id="155" max="6" man="1"/>
  </rowBreak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9</vt:i4>
      </vt:variant>
      <vt:variant>
        <vt:lpstr>Rangos con nombre</vt:lpstr>
      </vt:variant>
      <vt:variant>
        <vt:i4>9</vt:i4>
      </vt:variant>
    </vt:vector>
  </HeadingPairs>
  <TitlesOfParts>
    <vt:vector size="18" baseType="lpstr">
      <vt:lpstr>RESUMEN</vt:lpstr>
      <vt:lpstr>R</vt:lpstr>
      <vt:lpstr>C.Directo</vt:lpstr>
      <vt:lpstr>G.General</vt:lpstr>
      <vt:lpstr>Exp.Téc. </vt:lpstr>
      <vt:lpstr>Supervision</vt:lpstr>
      <vt:lpstr>Liquidacion</vt:lpstr>
      <vt:lpstr>Capacitacion Social</vt:lpstr>
      <vt:lpstr>Gestión</vt:lpstr>
      <vt:lpstr>C.Directo!Área_de_impresión</vt:lpstr>
      <vt:lpstr>'Capacitacion Social'!Área_de_impresión</vt:lpstr>
      <vt:lpstr>'Exp.Téc. '!Área_de_impresión</vt:lpstr>
      <vt:lpstr>G.General!Área_de_impresión</vt:lpstr>
      <vt:lpstr>Gestión!Área_de_impresión</vt:lpstr>
      <vt:lpstr>Liquidacion!Área_de_impresión</vt:lpstr>
      <vt:lpstr>'R'!Área_de_impresión</vt:lpstr>
      <vt:lpstr>RESUMEN!Área_de_impresión</vt:lpstr>
      <vt:lpstr>Supervision!Área_de_impresión</vt:lpstr>
    </vt:vector>
  </TitlesOfParts>
  <Company>CTAR CUSCO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GIS-02</dc:creator>
  <cp:lastModifiedBy>GUERRERO</cp:lastModifiedBy>
  <cp:lastPrinted>2020-05-20T19:29:32Z</cp:lastPrinted>
  <dcterms:created xsi:type="dcterms:W3CDTF">2003-01-21T17:07:22Z</dcterms:created>
  <dcterms:modified xsi:type="dcterms:W3CDTF">2020-05-20T19:29:46Z</dcterms:modified>
</cp:coreProperties>
</file>